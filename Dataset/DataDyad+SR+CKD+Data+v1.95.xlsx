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codeName="ThisWorkbook" autoCompressPictures="0"/>
  <bookViews>
    <workbookView xWindow="9480" yWindow="1840" windowWidth="36000" windowHeight="22880" tabRatio="900"/>
  </bookViews>
  <sheets>
    <sheet name="STATA FORMAT" sheetId="14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R3" i="14" l="1"/>
  <c r="BR5" i="14"/>
  <c r="BR6" i="14"/>
  <c r="BR8" i="14"/>
  <c r="BR9" i="14"/>
  <c r="BR10" i="14"/>
  <c r="BR11" i="14"/>
  <c r="BR15" i="14"/>
  <c r="BR17" i="14"/>
  <c r="BR18" i="14"/>
  <c r="BR19" i="14"/>
  <c r="BR20" i="14"/>
  <c r="BR21" i="14"/>
  <c r="BR22" i="14"/>
  <c r="BR23" i="14"/>
  <c r="BR25" i="14"/>
  <c r="BR26" i="14"/>
  <c r="BR27" i="14"/>
  <c r="BR28" i="14"/>
  <c r="BR29" i="14"/>
  <c r="BR30" i="14"/>
  <c r="BR31" i="14"/>
  <c r="BR32" i="14"/>
  <c r="BR33" i="14"/>
  <c r="BR34" i="14"/>
  <c r="BR36" i="14"/>
  <c r="BR37" i="14"/>
  <c r="BR38" i="14"/>
  <c r="BR41" i="14"/>
  <c r="BR42" i="14"/>
  <c r="BR44" i="14"/>
  <c r="BR45" i="14"/>
  <c r="BR46" i="14"/>
  <c r="BR50" i="14"/>
  <c r="G52" i="14"/>
  <c r="BR52" i="14"/>
  <c r="G53" i="14"/>
  <c r="BR53" i="14"/>
  <c r="G54" i="14"/>
  <c r="BR54" i="14"/>
  <c r="G55" i="14"/>
  <c r="BR55" i="14"/>
  <c r="BR57" i="14"/>
  <c r="BR60" i="14"/>
  <c r="BR63" i="14"/>
  <c r="BR64" i="14"/>
  <c r="BR65" i="14"/>
  <c r="BR67" i="14"/>
  <c r="BR70" i="14"/>
  <c r="BR73" i="14"/>
  <c r="BR75" i="14"/>
  <c r="BR76" i="14"/>
  <c r="BR77" i="14"/>
  <c r="BR78" i="14"/>
  <c r="BR80" i="14"/>
  <c r="BR81" i="14"/>
  <c r="BR83" i="14"/>
  <c r="BR84" i="14"/>
  <c r="BR87" i="14"/>
  <c r="BR90" i="14"/>
  <c r="BR91" i="14"/>
  <c r="BR92" i="14"/>
  <c r="BR94" i="14"/>
  <c r="G95" i="14"/>
  <c r="BR95" i="14"/>
  <c r="BR96" i="14"/>
  <c r="BR97" i="14"/>
  <c r="BR100" i="14"/>
  <c r="BR101" i="14"/>
  <c r="BR102" i="14"/>
  <c r="BR105" i="14"/>
  <c r="BR106" i="14"/>
  <c r="BR4" i="14"/>
  <c r="BR7" i="14"/>
  <c r="BR12" i="14"/>
  <c r="BR13" i="14"/>
  <c r="BR14" i="14"/>
  <c r="BR16" i="14"/>
  <c r="BR24" i="14"/>
  <c r="BR35" i="14"/>
  <c r="BR39" i="14"/>
  <c r="BR40" i="14"/>
  <c r="BR43" i="14"/>
  <c r="BR47" i="14"/>
  <c r="BR48" i="14"/>
  <c r="G49" i="14"/>
  <c r="BR49" i="14"/>
  <c r="BR51" i="14"/>
  <c r="BR56" i="14"/>
  <c r="BR58" i="14"/>
  <c r="BR59" i="14"/>
  <c r="BR61" i="14"/>
  <c r="BR62" i="14"/>
  <c r="BR66" i="14"/>
  <c r="BR68" i="14"/>
  <c r="BR69" i="14"/>
  <c r="BR71" i="14"/>
  <c r="BR72" i="14"/>
  <c r="BR74" i="14"/>
  <c r="BR79" i="14"/>
  <c r="BQ82" i="14"/>
  <c r="BR82" i="14"/>
  <c r="BR85" i="14"/>
  <c r="BR86" i="14"/>
  <c r="BR88" i="14"/>
  <c r="BR89" i="14"/>
  <c r="BR93" i="14"/>
  <c r="BR98" i="14"/>
  <c r="BR99" i="14"/>
  <c r="BR103" i="14"/>
  <c r="BR104" i="14"/>
  <c r="BR107" i="14"/>
  <c r="BR108" i="14"/>
  <c r="BR109" i="14"/>
  <c r="BR110" i="14"/>
  <c r="BR111" i="14"/>
  <c r="BR112" i="14"/>
  <c r="BR113" i="14"/>
  <c r="BR2" i="14"/>
  <c r="BJ3" i="14"/>
  <c r="BJ5" i="14"/>
  <c r="BJ6" i="14"/>
  <c r="BJ8" i="14"/>
  <c r="BJ9" i="14"/>
  <c r="BJ10" i="14"/>
  <c r="BJ11" i="14"/>
  <c r="BJ15" i="14"/>
  <c r="BJ17" i="14"/>
  <c r="BJ18" i="14"/>
  <c r="BJ19" i="14"/>
  <c r="BJ20" i="14"/>
  <c r="BJ21" i="14"/>
  <c r="BJ22" i="14"/>
  <c r="BJ23" i="14"/>
  <c r="BJ25" i="14"/>
  <c r="BJ26" i="14"/>
  <c r="BJ27" i="14"/>
  <c r="BJ28" i="14"/>
  <c r="BJ29" i="14"/>
  <c r="BJ30" i="14"/>
  <c r="BJ31" i="14"/>
  <c r="BJ32" i="14"/>
  <c r="BJ33" i="14"/>
  <c r="BJ34" i="14"/>
  <c r="BJ36" i="14"/>
  <c r="BJ37" i="14"/>
  <c r="BJ38" i="14"/>
  <c r="BJ41" i="14"/>
  <c r="BJ42" i="14"/>
  <c r="BJ44" i="14"/>
  <c r="BJ45" i="14"/>
  <c r="BJ46" i="14"/>
  <c r="BJ50" i="14"/>
  <c r="BJ52" i="14"/>
  <c r="BJ53" i="14"/>
  <c r="BJ54" i="14"/>
  <c r="BJ55" i="14"/>
  <c r="BJ57" i="14"/>
  <c r="BJ60" i="14"/>
  <c r="BJ63" i="14"/>
  <c r="BJ64" i="14"/>
  <c r="BJ65" i="14"/>
  <c r="BJ67" i="14"/>
  <c r="BJ70" i="14"/>
  <c r="BJ73" i="14"/>
  <c r="BJ75" i="14"/>
  <c r="BJ76" i="14"/>
  <c r="BJ77" i="14"/>
  <c r="BJ78" i="14"/>
  <c r="BJ80" i="14"/>
  <c r="BJ81" i="14"/>
  <c r="BJ83" i="14"/>
  <c r="BJ84" i="14"/>
  <c r="BJ87" i="14"/>
  <c r="BJ90" i="14"/>
  <c r="BJ91" i="14"/>
  <c r="BJ92" i="14"/>
  <c r="BJ94" i="14"/>
  <c r="BJ95" i="14"/>
  <c r="BJ96" i="14"/>
  <c r="BJ97" i="14"/>
  <c r="BJ100" i="14"/>
  <c r="BJ101" i="14"/>
  <c r="BJ102" i="14"/>
  <c r="BJ105" i="14"/>
  <c r="BJ106" i="14"/>
  <c r="BJ4" i="14"/>
  <c r="BJ7" i="14"/>
  <c r="BJ12" i="14"/>
  <c r="BJ13" i="14"/>
  <c r="BJ14" i="14"/>
  <c r="BJ16" i="14"/>
  <c r="BJ24" i="14"/>
  <c r="BJ35" i="14"/>
  <c r="BJ39" i="14"/>
  <c r="BJ40" i="14"/>
  <c r="BJ43" i="14"/>
  <c r="BJ47" i="14"/>
  <c r="BJ48" i="14"/>
  <c r="BJ49" i="14"/>
  <c r="BJ51" i="14"/>
  <c r="BJ56" i="14"/>
  <c r="BJ58" i="14"/>
  <c r="BJ59" i="14"/>
  <c r="BJ61" i="14"/>
  <c r="BJ62" i="14"/>
  <c r="BJ66" i="14"/>
  <c r="BJ68" i="14"/>
  <c r="BJ69" i="14"/>
  <c r="BJ71" i="14"/>
  <c r="BJ72" i="14"/>
  <c r="BJ74" i="14"/>
  <c r="BJ79" i="14"/>
  <c r="BI82" i="14"/>
  <c r="BJ82" i="14"/>
  <c r="BJ85" i="14"/>
  <c r="BJ86" i="14"/>
  <c r="BJ88" i="14"/>
  <c r="BJ89" i="14"/>
  <c r="BJ93" i="14"/>
  <c r="BJ98" i="14"/>
  <c r="BJ99" i="14"/>
  <c r="BJ103" i="14"/>
  <c r="BJ104" i="14"/>
  <c r="BJ107" i="14"/>
  <c r="BJ108" i="14"/>
  <c r="BJ109" i="14"/>
  <c r="BJ110" i="14"/>
  <c r="BJ111" i="14"/>
  <c r="BJ112" i="14"/>
  <c r="BJ113" i="14"/>
  <c r="BJ2" i="14"/>
  <c r="CD113" i="14"/>
  <c r="CB113" i="14"/>
  <c r="BZ113" i="14"/>
  <c r="BX113" i="14"/>
  <c r="BV113" i="14"/>
  <c r="BS113" i="14"/>
  <c r="BK113" i="14"/>
  <c r="BA113" i="14"/>
  <c r="BC113" i="14"/>
  <c r="BB113" i="14"/>
  <c r="AZ113" i="14"/>
  <c r="AY113" i="14"/>
  <c r="AW113" i="14"/>
  <c r="AV113" i="14"/>
  <c r="AT113" i="14"/>
  <c r="AS113" i="14"/>
  <c r="AQ113" i="14"/>
  <c r="AP113" i="14"/>
  <c r="AN113" i="14"/>
  <c r="AM113" i="14"/>
  <c r="AE113" i="14"/>
  <c r="AF113" i="14"/>
  <c r="CD112" i="14"/>
  <c r="CB112" i="14"/>
  <c r="BZ112" i="14"/>
  <c r="BX112" i="14"/>
  <c r="BV112" i="14"/>
  <c r="BS112" i="14"/>
  <c r="BK112" i="14"/>
  <c r="BC112" i="14"/>
  <c r="BB112" i="14"/>
  <c r="AZ112" i="14"/>
  <c r="AY112" i="14"/>
  <c r="AW112" i="14"/>
  <c r="AV112" i="14"/>
  <c r="AT112" i="14"/>
  <c r="AS112" i="14"/>
  <c r="AQ112" i="14"/>
  <c r="AP112" i="14"/>
  <c r="AN112" i="14"/>
  <c r="AM112" i="14"/>
  <c r="AD112" i="14"/>
  <c r="AE112" i="14"/>
  <c r="AF112" i="14"/>
  <c r="CD111" i="14"/>
  <c r="CB111" i="14"/>
  <c r="BZ111" i="14"/>
  <c r="BX111" i="14"/>
  <c r="BV111" i="14"/>
  <c r="BS111" i="14"/>
  <c r="BK111" i="14"/>
  <c r="BC111" i="14"/>
  <c r="BB111" i="14"/>
  <c r="AZ111" i="14"/>
  <c r="AY111" i="14"/>
  <c r="AW111" i="14"/>
  <c r="AV111" i="14"/>
  <c r="AT111" i="14"/>
  <c r="AS111" i="14"/>
  <c r="AQ111" i="14"/>
  <c r="AP111" i="14"/>
  <c r="AN111" i="14"/>
  <c r="AM111" i="14"/>
  <c r="AD111" i="14"/>
  <c r="AE111" i="14"/>
  <c r="AF111" i="14"/>
  <c r="CD110" i="14"/>
  <c r="CB110" i="14"/>
  <c r="BZ110" i="14"/>
  <c r="BX110" i="14"/>
  <c r="BV110" i="14"/>
  <c r="BS110" i="14"/>
  <c r="BK110" i="14"/>
  <c r="BC110" i="14"/>
  <c r="BB110" i="14"/>
  <c r="AZ110" i="14"/>
  <c r="AY110" i="14"/>
  <c r="AW110" i="14"/>
  <c r="AV110" i="14"/>
  <c r="AT110" i="14"/>
  <c r="AS110" i="14"/>
  <c r="AQ110" i="14"/>
  <c r="AP110" i="14"/>
  <c r="AN110" i="14"/>
  <c r="AM110" i="14"/>
  <c r="AE110" i="14"/>
  <c r="AF110" i="14"/>
  <c r="CD109" i="14"/>
  <c r="CB109" i="14"/>
  <c r="BZ109" i="14"/>
  <c r="BX109" i="14"/>
  <c r="BV109" i="14"/>
  <c r="BS109" i="14"/>
  <c r="BK109" i="14"/>
  <c r="BC109" i="14"/>
  <c r="BB109" i="14"/>
  <c r="AZ109" i="14"/>
  <c r="AY109" i="14"/>
  <c r="AW109" i="14"/>
  <c r="AV109" i="14"/>
  <c r="AT109" i="14"/>
  <c r="AS109" i="14"/>
  <c r="AQ109" i="14"/>
  <c r="AP109" i="14"/>
  <c r="AN109" i="14"/>
  <c r="AM109" i="14"/>
  <c r="AE109" i="14"/>
  <c r="AF109" i="14"/>
  <c r="CD108" i="14"/>
  <c r="CB108" i="14"/>
  <c r="BZ108" i="14"/>
  <c r="BX108" i="14"/>
  <c r="BV108" i="14"/>
  <c r="BS108" i="14"/>
  <c r="BK108" i="14"/>
  <c r="BC108" i="14"/>
  <c r="BB108" i="14"/>
  <c r="AZ108" i="14"/>
  <c r="AY108" i="14"/>
  <c r="AW108" i="14"/>
  <c r="AV108" i="14"/>
  <c r="AT108" i="14"/>
  <c r="AS108" i="14"/>
  <c r="AQ108" i="14"/>
  <c r="AP108" i="14"/>
  <c r="AN108" i="14"/>
  <c r="AM108" i="14"/>
  <c r="AE108" i="14"/>
  <c r="AF108" i="14"/>
  <c r="CD107" i="14"/>
  <c r="CB107" i="14"/>
  <c r="BZ107" i="14"/>
  <c r="BX107" i="14"/>
  <c r="BV107" i="14"/>
  <c r="BS107" i="14"/>
  <c r="BK107" i="14"/>
  <c r="BC107" i="14"/>
  <c r="BB107" i="14"/>
  <c r="AZ107" i="14"/>
  <c r="AY107" i="14"/>
  <c r="AW107" i="14"/>
  <c r="AV107" i="14"/>
  <c r="AT107" i="14"/>
  <c r="AS107" i="14"/>
  <c r="AQ107" i="14"/>
  <c r="AP107" i="14"/>
  <c r="AN107" i="14"/>
  <c r="AM107" i="14"/>
  <c r="AD107" i="14"/>
  <c r="AE107" i="14"/>
  <c r="AF107" i="14"/>
  <c r="CD104" i="14"/>
  <c r="CB104" i="14"/>
  <c r="BZ104" i="14"/>
  <c r="BX104" i="14"/>
  <c r="BV104" i="14"/>
  <c r="BS104" i="14"/>
  <c r="BK104" i="14"/>
  <c r="BC104" i="14"/>
  <c r="BB104" i="14"/>
  <c r="AZ104" i="14"/>
  <c r="AY104" i="14"/>
  <c r="AW104" i="14"/>
  <c r="AV104" i="14"/>
  <c r="AT104" i="14"/>
  <c r="AS104" i="14"/>
  <c r="AQ104" i="14"/>
  <c r="AP104" i="14"/>
  <c r="AN104" i="14"/>
  <c r="AM104" i="14"/>
  <c r="AE104" i="14"/>
  <c r="AF104" i="14"/>
  <c r="CD103" i="14"/>
  <c r="CB103" i="14"/>
  <c r="BZ103" i="14"/>
  <c r="BX103" i="14"/>
  <c r="BV103" i="14"/>
  <c r="BS103" i="14"/>
  <c r="BK103" i="14"/>
  <c r="BA103" i="14"/>
  <c r="BC103" i="14"/>
  <c r="BB103" i="14"/>
  <c r="AZ103" i="14"/>
  <c r="AY103" i="14"/>
  <c r="AW103" i="14"/>
  <c r="AV103" i="14"/>
  <c r="AT103" i="14"/>
  <c r="AS103" i="14"/>
  <c r="AQ103" i="14"/>
  <c r="AP103" i="14"/>
  <c r="AN103" i="14"/>
  <c r="AM103" i="14"/>
  <c r="AE103" i="14"/>
  <c r="AF103" i="14"/>
  <c r="CD99" i="14"/>
  <c r="CB99" i="14"/>
  <c r="BZ99" i="14"/>
  <c r="BX99" i="14"/>
  <c r="BV99" i="14"/>
  <c r="BS99" i="14"/>
  <c r="BK99" i="14"/>
  <c r="BC99" i="14"/>
  <c r="BB99" i="14"/>
  <c r="AZ99" i="14"/>
  <c r="AY99" i="14"/>
  <c r="AW99" i="14"/>
  <c r="AV99" i="14"/>
  <c r="AT99" i="14"/>
  <c r="AS99" i="14"/>
  <c r="AQ99" i="14"/>
  <c r="AP99" i="14"/>
  <c r="AN99" i="14"/>
  <c r="AM99" i="14"/>
  <c r="AE99" i="14"/>
  <c r="AF99" i="14"/>
  <c r="CD98" i="14"/>
  <c r="CB98" i="14"/>
  <c r="BZ98" i="14"/>
  <c r="BX98" i="14"/>
  <c r="BV98" i="14"/>
  <c r="BS98" i="14"/>
  <c r="BK98" i="14"/>
  <c r="BC98" i="14"/>
  <c r="BB98" i="14"/>
  <c r="AZ98" i="14"/>
  <c r="AY98" i="14"/>
  <c r="AW98" i="14"/>
  <c r="AV98" i="14"/>
  <c r="AT98" i="14"/>
  <c r="AS98" i="14"/>
  <c r="AQ98" i="14"/>
  <c r="AP98" i="14"/>
  <c r="AN98" i="14"/>
  <c r="AM98" i="14"/>
  <c r="AD98" i="14"/>
  <c r="AE98" i="14"/>
  <c r="AF98" i="14"/>
  <c r="CD93" i="14"/>
  <c r="CB93" i="14"/>
  <c r="BZ93" i="14"/>
  <c r="BX93" i="14"/>
  <c r="BV93" i="14"/>
  <c r="BS93" i="14"/>
  <c r="BK93" i="14"/>
  <c r="BC93" i="14"/>
  <c r="BB93" i="14"/>
  <c r="AZ93" i="14"/>
  <c r="AY93" i="14"/>
  <c r="AW93" i="14"/>
  <c r="AV93" i="14"/>
  <c r="AT93" i="14"/>
  <c r="AS93" i="14"/>
  <c r="AQ93" i="14"/>
  <c r="AP93" i="14"/>
  <c r="AN93" i="14"/>
  <c r="AM93" i="14"/>
  <c r="AD93" i="14"/>
  <c r="AE93" i="14"/>
  <c r="AF93" i="14"/>
  <c r="CD89" i="14"/>
  <c r="CB89" i="14"/>
  <c r="BZ89" i="14"/>
  <c r="BX89" i="14"/>
  <c r="BV89" i="14"/>
  <c r="BS89" i="14"/>
  <c r="BK89" i="14"/>
  <c r="BC89" i="14"/>
  <c r="BB89" i="14"/>
  <c r="AZ89" i="14"/>
  <c r="AY89" i="14"/>
  <c r="AW89" i="14"/>
  <c r="AV89" i="14"/>
  <c r="AT89" i="14"/>
  <c r="AS89" i="14"/>
  <c r="AQ89" i="14"/>
  <c r="AP89" i="14"/>
  <c r="AN89" i="14"/>
  <c r="AM89" i="14"/>
  <c r="AE89" i="14"/>
  <c r="AF89" i="14"/>
  <c r="CD88" i="14"/>
  <c r="CB88" i="14"/>
  <c r="BZ88" i="14"/>
  <c r="BX88" i="14"/>
  <c r="BV88" i="14"/>
  <c r="BS88" i="14"/>
  <c r="BK88" i="14"/>
  <c r="BC88" i="14"/>
  <c r="BB88" i="14"/>
  <c r="AZ88" i="14"/>
  <c r="AY88" i="14"/>
  <c r="AW88" i="14"/>
  <c r="AV88" i="14"/>
  <c r="AT88" i="14"/>
  <c r="AS88" i="14"/>
  <c r="AQ88" i="14"/>
  <c r="AP88" i="14"/>
  <c r="AN88" i="14"/>
  <c r="AM88" i="14"/>
  <c r="AD88" i="14"/>
  <c r="AE88" i="14"/>
  <c r="AF88" i="14"/>
  <c r="CD86" i="14"/>
  <c r="CB86" i="14"/>
  <c r="BZ86" i="14"/>
  <c r="BX86" i="14"/>
  <c r="BV86" i="14"/>
  <c r="BS86" i="14"/>
  <c r="BK86" i="14"/>
  <c r="BC86" i="14"/>
  <c r="BB86" i="14"/>
  <c r="AZ86" i="14"/>
  <c r="AY86" i="14"/>
  <c r="AW86" i="14"/>
  <c r="AV86" i="14"/>
  <c r="AT86" i="14"/>
  <c r="AS86" i="14"/>
  <c r="AQ86" i="14"/>
  <c r="AP86" i="14"/>
  <c r="AN86" i="14"/>
  <c r="AM86" i="14"/>
  <c r="AE86" i="14"/>
  <c r="AF86" i="14"/>
  <c r="CD85" i="14"/>
  <c r="CB85" i="14"/>
  <c r="BZ85" i="14"/>
  <c r="BX85" i="14"/>
  <c r="BV85" i="14"/>
  <c r="BS85" i="14"/>
  <c r="BK85" i="14"/>
  <c r="BC85" i="14"/>
  <c r="BB85" i="14"/>
  <c r="AZ85" i="14"/>
  <c r="AY85" i="14"/>
  <c r="AW85" i="14"/>
  <c r="AV85" i="14"/>
  <c r="AT85" i="14"/>
  <c r="AS85" i="14"/>
  <c r="AQ85" i="14"/>
  <c r="AP85" i="14"/>
  <c r="AN85" i="14"/>
  <c r="AM85" i="14"/>
  <c r="AE85" i="14"/>
  <c r="AF85" i="14"/>
  <c r="CD82" i="14"/>
  <c r="CB82" i="14"/>
  <c r="BZ82" i="14"/>
  <c r="BX82" i="14"/>
  <c r="BV82" i="14"/>
  <c r="BS82" i="14"/>
  <c r="BK82" i="14"/>
  <c r="BC82" i="14"/>
  <c r="BB82" i="14"/>
  <c r="AZ82" i="14"/>
  <c r="AY82" i="14"/>
  <c r="AW82" i="14"/>
  <c r="AV82" i="14"/>
  <c r="AT82" i="14"/>
  <c r="AS82" i="14"/>
  <c r="AQ82" i="14"/>
  <c r="AP82" i="14"/>
  <c r="AN82" i="14"/>
  <c r="AM82" i="14"/>
  <c r="AE82" i="14"/>
  <c r="AF82" i="14"/>
  <c r="G79" i="14"/>
  <c r="CD79" i="14"/>
  <c r="CB79" i="14"/>
  <c r="BZ79" i="14"/>
  <c r="BX79" i="14"/>
  <c r="BV79" i="14"/>
  <c r="BS79" i="14"/>
  <c r="BK79" i="14"/>
  <c r="BC79" i="14"/>
  <c r="BB79" i="14"/>
  <c r="AZ79" i="14"/>
  <c r="AY79" i="14"/>
  <c r="AW79" i="14"/>
  <c r="AV79" i="14"/>
  <c r="AT79" i="14"/>
  <c r="AS79" i="14"/>
  <c r="AQ79" i="14"/>
  <c r="AP79" i="14"/>
  <c r="AN79" i="14"/>
  <c r="AM79" i="14"/>
  <c r="AE79" i="14"/>
  <c r="AF79" i="14"/>
  <c r="CD74" i="14"/>
  <c r="CB74" i="14"/>
  <c r="BZ74" i="14"/>
  <c r="BX74" i="14"/>
  <c r="BV74" i="14"/>
  <c r="BS74" i="14"/>
  <c r="BK74" i="14"/>
  <c r="BC74" i="14"/>
  <c r="BB74" i="14"/>
  <c r="AZ74" i="14"/>
  <c r="AY74" i="14"/>
  <c r="AW74" i="14"/>
  <c r="AV74" i="14"/>
  <c r="AT74" i="14"/>
  <c r="AS74" i="14"/>
  <c r="AQ74" i="14"/>
  <c r="AP74" i="14"/>
  <c r="AN74" i="14"/>
  <c r="AM74" i="14"/>
  <c r="AD74" i="14"/>
  <c r="AE74" i="14"/>
  <c r="AF74" i="14"/>
  <c r="CD72" i="14"/>
  <c r="CB72" i="14"/>
  <c r="BZ72" i="14"/>
  <c r="BX72" i="14"/>
  <c r="BV72" i="14"/>
  <c r="BS72" i="14"/>
  <c r="BK72" i="14"/>
  <c r="BC72" i="14"/>
  <c r="BB72" i="14"/>
  <c r="AZ72" i="14"/>
  <c r="AY72" i="14"/>
  <c r="AW72" i="14"/>
  <c r="AV72" i="14"/>
  <c r="AT72" i="14"/>
  <c r="AS72" i="14"/>
  <c r="AQ72" i="14"/>
  <c r="AP72" i="14"/>
  <c r="AN72" i="14"/>
  <c r="AM72" i="14"/>
  <c r="AD72" i="14"/>
  <c r="AE72" i="14"/>
  <c r="AF72" i="14"/>
  <c r="CD71" i="14"/>
  <c r="CB71" i="14"/>
  <c r="BZ71" i="14"/>
  <c r="BX71" i="14"/>
  <c r="BV71" i="14"/>
  <c r="BS71" i="14"/>
  <c r="BK71" i="14"/>
  <c r="BC71" i="14"/>
  <c r="BB71" i="14"/>
  <c r="AZ71" i="14"/>
  <c r="AY71" i="14"/>
  <c r="AW71" i="14"/>
  <c r="AV71" i="14"/>
  <c r="AT71" i="14"/>
  <c r="AS71" i="14"/>
  <c r="AQ71" i="14"/>
  <c r="AP71" i="14"/>
  <c r="AN71" i="14"/>
  <c r="AM71" i="14"/>
  <c r="AE71" i="14"/>
  <c r="AF71" i="14"/>
  <c r="CD69" i="14"/>
  <c r="CB69" i="14"/>
  <c r="BZ69" i="14"/>
  <c r="BX69" i="14"/>
  <c r="BV69" i="14"/>
  <c r="BS69" i="14"/>
  <c r="BK69" i="14"/>
  <c r="BC69" i="14"/>
  <c r="BB69" i="14"/>
  <c r="AZ69" i="14"/>
  <c r="AY69" i="14"/>
  <c r="AW69" i="14"/>
  <c r="AV69" i="14"/>
  <c r="AT69" i="14"/>
  <c r="AS69" i="14"/>
  <c r="AQ69" i="14"/>
  <c r="AP69" i="14"/>
  <c r="AN69" i="14"/>
  <c r="AM69" i="14"/>
  <c r="AE69" i="14"/>
  <c r="AF69" i="14"/>
  <c r="CD68" i="14"/>
  <c r="CB68" i="14"/>
  <c r="BZ68" i="14"/>
  <c r="BX68" i="14"/>
  <c r="BV68" i="14"/>
  <c r="BS68" i="14"/>
  <c r="BK68" i="14"/>
  <c r="BC68" i="14"/>
  <c r="BB68" i="14"/>
  <c r="AZ68" i="14"/>
  <c r="AY68" i="14"/>
  <c r="AW68" i="14"/>
  <c r="AV68" i="14"/>
  <c r="AT68" i="14"/>
  <c r="AS68" i="14"/>
  <c r="AQ68" i="14"/>
  <c r="AP68" i="14"/>
  <c r="AN68" i="14"/>
  <c r="AM68" i="14"/>
  <c r="AE68" i="14"/>
  <c r="AF68" i="14"/>
  <c r="CD66" i="14"/>
  <c r="CB66" i="14"/>
  <c r="BZ66" i="14"/>
  <c r="BX66" i="14"/>
  <c r="BV66" i="14"/>
  <c r="BS66" i="14"/>
  <c r="BK66" i="14"/>
  <c r="BC66" i="14"/>
  <c r="BB66" i="14"/>
  <c r="AZ66" i="14"/>
  <c r="AY66" i="14"/>
  <c r="AW66" i="14"/>
  <c r="AV66" i="14"/>
  <c r="AT66" i="14"/>
  <c r="AS66" i="14"/>
  <c r="AQ66" i="14"/>
  <c r="AP66" i="14"/>
  <c r="AN66" i="14"/>
  <c r="AM66" i="14"/>
  <c r="AD66" i="14"/>
  <c r="AE66" i="14"/>
  <c r="AF66" i="14"/>
  <c r="CD62" i="14"/>
  <c r="CB62" i="14"/>
  <c r="BZ62" i="14"/>
  <c r="BX62" i="14"/>
  <c r="BV62" i="14"/>
  <c r="BS62" i="14"/>
  <c r="BK62" i="14"/>
  <c r="BC62" i="14"/>
  <c r="BB62" i="14"/>
  <c r="AZ62" i="14"/>
  <c r="AY62" i="14"/>
  <c r="AW62" i="14"/>
  <c r="AV62" i="14"/>
  <c r="AT62" i="14"/>
  <c r="AS62" i="14"/>
  <c r="AQ62" i="14"/>
  <c r="AP62" i="14"/>
  <c r="AN62" i="14"/>
  <c r="AM62" i="14"/>
  <c r="AE62" i="14"/>
  <c r="AF62" i="14"/>
  <c r="CD61" i="14"/>
  <c r="CB61" i="14"/>
  <c r="BZ61" i="14"/>
  <c r="BX61" i="14"/>
  <c r="BV61" i="14"/>
  <c r="BS61" i="14"/>
  <c r="BK61" i="14"/>
  <c r="BC61" i="14"/>
  <c r="BB61" i="14"/>
  <c r="AZ61" i="14"/>
  <c r="AY61" i="14"/>
  <c r="AW61" i="14"/>
  <c r="AV61" i="14"/>
  <c r="AT61" i="14"/>
  <c r="AS61" i="14"/>
  <c r="AQ61" i="14"/>
  <c r="AP61" i="14"/>
  <c r="AN61" i="14"/>
  <c r="AM61" i="14"/>
  <c r="AE61" i="14"/>
  <c r="AF61" i="14"/>
  <c r="CD59" i="14"/>
  <c r="CB59" i="14"/>
  <c r="BZ59" i="14"/>
  <c r="BX59" i="14"/>
  <c r="BV59" i="14"/>
  <c r="BS59" i="14"/>
  <c r="BK59" i="14"/>
  <c r="BC59" i="14"/>
  <c r="BB59" i="14"/>
  <c r="AZ59" i="14"/>
  <c r="AY59" i="14"/>
  <c r="AW59" i="14"/>
  <c r="AV59" i="14"/>
  <c r="AT59" i="14"/>
  <c r="AS59" i="14"/>
  <c r="AQ59" i="14"/>
  <c r="AP59" i="14"/>
  <c r="AN59" i="14"/>
  <c r="AM59" i="14"/>
  <c r="AD59" i="14"/>
  <c r="AE59" i="14"/>
  <c r="AF59" i="14"/>
  <c r="CD58" i="14"/>
  <c r="CB58" i="14"/>
  <c r="BZ58" i="14"/>
  <c r="BX58" i="14"/>
  <c r="BV58" i="14"/>
  <c r="BS58" i="14"/>
  <c r="BK58" i="14"/>
  <c r="BC58" i="14"/>
  <c r="BB58" i="14"/>
  <c r="AZ58" i="14"/>
  <c r="AY58" i="14"/>
  <c r="AW58" i="14"/>
  <c r="AV58" i="14"/>
  <c r="AT58" i="14"/>
  <c r="AS58" i="14"/>
  <c r="AQ58" i="14"/>
  <c r="AP58" i="14"/>
  <c r="AN58" i="14"/>
  <c r="AM58" i="14"/>
  <c r="AD58" i="14"/>
  <c r="AE58" i="14"/>
  <c r="AF58" i="14"/>
  <c r="CD56" i="14"/>
  <c r="CB56" i="14"/>
  <c r="BZ56" i="14"/>
  <c r="BX56" i="14"/>
  <c r="BV56" i="14"/>
  <c r="BS56" i="14"/>
  <c r="BK56" i="14"/>
  <c r="BC56" i="14"/>
  <c r="BB56" i="14"/>
  <c r="AZ56" i="14"/>
  <c r="AY56" i="14"/>
  <c r="AW56" i="14"/>
  <c r="AV56" i="14"/>
  <c r="AT56" i="14"/>
  <c r="AS56" i="14"/>
  <c r="AQ56" i="14"/>
  <c r="AP56" i="14"/>
  <c r="AN56" i="14"/>
  <c r="AM56" i="14"/>
  <c r="AE56" i="14"/>
  <c r="AF56" i="14"/>
  <c r="CD51" i="14"/>
  <c r="CB51" i="14"/>
  <c r="BZ51" i="14"/>
  <c r="BX51" i="14"/>
  <c r="BV51" i="14"/>
  <c r="BS51" i="14"/>
  <c r="BK51" i="14"/>
  <c r="BC51" i="14"/>
  <c r="BB51" i="14"/>
  <c r="AZ51" i="14"/>
  <c r="AY51" i="14"/>
  <c r="AU51" i="14"/>
  <c r="AW51" i="14"/>
  <c r="AV51" i="14"/>
  <c r="AT51" i="14"/>
  <c r="AS51" i="14"/>
  <c r="AQ51" i="14"/>
  <c r="AP51" i="14"/>
  <c r="AN51" i="14"/>
  <c r="AM51" i="14"/>
  <c r="AD51" i="14"/>
  <c r="AE51" i="14"/>
  <c r="AF51" i="14"/>
  <c r="CD49" i="14"/>
  <c r="CB49" i="14"/>
  <c r="BZ49" i="14"/>
  <c r="BX49" i="14"/>
  <c r="BV49" i="14"/>
  <c r="BS49" i="14"/>
  <c r="BK49" i="14"/>
  <c r="BC49" i="14"/>
  <c r="BB49" i="14"/>
  <c r="AZ49" i="14"/>
  <c r="AY49" i="14"/>
  <c r="AW49" i="14"/>
  <c r="AV49" i="14"/>
  <c r="AT49" i="14"/>
  <c r="AS49" i="14"/>
  <c r="AQ49" i="14"/>
  <c r="AP49" i="14"/>
  <c r="AN49" i="14"/>
  <c r="AM49" i="14"/>
  <c r="AD49" i="14"/>
  <c r="AE49" i="14"/>
  <c r="AF49" i="14"/>
  <c r="CD48" i="14"/>
  <c r="CB48" i="14"/>
  <c r="BZ48" i="14"/>
  <c r="BX48" i="14"/>
  <c r="BV48" i="14"/>
  <c r="BS48" i="14"/>
  <c r="BK48" i="14"/>
  <c r="BC48" i="14"/>
  <c r="BB48" i="14"/>
  <c r="AZ48" i="14"/>
  <c r="AY48" i="14"/>
  <c r="AW48" i="14"/>
  <c r="AV48" i="14"/>
  <c r="AT48" i="14"/>
  <c r="AS48" i="14"/>
  <c r="AQ48" i="14"/>
  <c r="AP48" i="14"/>
  <c r="AN48" i="14"/>
  <c r="AM48" i="14"/>
  <c r="AD48" i="14"/>
  <c r="AE48" i="14"/>
  <c r="AF48" i="14"/>
  <c r="CD47" i="14"/>
  <c r="CB47" i="14"/>
  <c r="BZ47" i="14"/>
  <c r="BX47" i="14"/>
  <c r="BV47" i="14"/>
  <c r="BS47" i="14"/>
  <c r="BK47" i="14"/>
  <c r="BC47" i="14"/>
  <c r="BB47" i="14"/>
  <c r="AZ47" i="14"/>
  <c r="AY47" i="14"/>
  <c r="AW47" i="14"/>
  <c r="AV47" i="14"/>
  <c r="AT47" i="14"/>
  <c r="AS47" i="14"/>
  <c r="AQ47" i="14"/>
  <c r="AP47" i="14"/>
  <c r="AN47" i="14"/>
  <c r="AM47" i="14"/>
  <c r="AD47" i="14"/>
  <c r="AE47" i="14"/>
  <c r="AF47" i="14"/>
  <c r="CD43" i="14"/>
  <c r="CB43" i="14"/>
  <c r="BZ43" i="14"/>
  <c r="BX43" i="14"/>
  <c r="BV43" i="14"/>
  <c r="BS43" i="14"/>
  <c r="BK43" i="14"/>
  <c r="BC43" i="14"/>
  <c r="BB43" i="14"/>
  <c r="AZ43" i="14"/>
  <c r="AY43" i="14"/>
  <c r="AW43" i="14"/>
  <c r="AV43" i="14"/>
  <c r="AT43" i="14"/>
  <c r="AS43" i="14"/>
  <c r="AQ43" i="14"/>
  <c r="AP43" i="14"/>
  <c r="AN43" i="14"/>
  <c r="AM43" i="14"/>
  <c r="AD43" i="14"/>
  <c r="AE43" i="14"/>
  <c r="AF43" i="14"/>
  <c r="CD40" i="14"/>
  <c r="CB40" i="14"/>
  <c r="BZ40" i="14"/>
  <c r="BX40" i="14"/>
  <c r="BV40" i="14"/>
  <c r="BS40" i="14"/>
  <c r="BK40" i="14"/>
  <c r="BC40" i="14"/>
  <c r="BB40" i="14"/>
  <c r="AZ40" i="14"/>
  <c r="AY40" i="14"/>
  <c r="AW40" i="14"/>
  <c r="AV40" i="14"/>
  <c r="AT40" i="14"/>
  <c r="AS40" i="14"/>
  <c r="AQ40" i="14"/>
  <c r="AP40" i="14"/>
  <c r="AN40" i="14"/>
  <c r="AM40" i="14"/>
  <c r="AD40" i="14"/>
  <c r="AE40" i="14"/>
  <c r="AF40" i="14"/>
  <c r="CD39" i="14"/>
  <c r="CB39" i="14"/>
  <c r="BZ39" i="14"/>
  <c r="BX39" i="14"/>
  <c r="BV39" i="14"/>
  <c r="BS39" i="14"/>
  <c r="BK39" i="14"/>
  <c r="BC39" i="14"/>
  <c r="BB39" i="14"/>
  <c r="AZ39" i="14"/>
  <c r="AY39" i="14"/>
  <c r="AW39" i="14"/>
  <c r="AV39" i="14"/>
  <c r="AT39" i="14"/>
  <c r="AS39" i="14"/>
  <c r="AQ39" i="14"/>
  <c r="AP39" i="14"/>
  <c r="AN39" i="14"/>
  <c r="AM39" i="14"/>
  <c r="AE39" i="14"/>
  <c r="AF39" i="14"/>
  <c r="CD35" i="14"/>
  <c r="CB35" i="14"/>
  <c r="BZ35" i="14"/>
  <c r="BX35" i="14"/>
  <c r="BV35" i="14"/>
  <c r="BS35" i="14"/>
  <c r="BK35" i="14"/>
  <c r="BC35" i="14"/>
  <c r="BB35" i="14"/>
  <c r="AZ35" i="14"/>
  <c r="AY35" i="14"/>
  <c r="AW35" i="14"/>
  <c r="AV35" i="14"/>
  <c r="AT35" i="14"/>
  <c r="AS35" i="14"/>
  <c r="AQ35" i="14"/>
  <c r="AP35" i="14"/>
  <c r="AN35" i="14"/>
  <c r="AM35" i="14"/>
  <c r="AE35" i="14"/>
  <c r="AF35" i="14"/>
  <c r="CD24" i="14"/>
  <c r="CB24" i="14"/>
  <c r="BZ24" i="14"/>
  <c r="BX24" i="14"/>
  <c r="BV24" i="14"/>
  <c r="BS24" i="14"/>
  <c r="BK24" i="14"/>
  <c r="BC24" i="14"/>
  <c r="BB24" i="14"/>
  <c r="AZ24" i="14"/>
  <c r="AY24" i="14"/>
  <c r="AW24" i="14"/>
  <c r="AV24" i="14"/>
  <c r="AT24" i="14"/>
  <c r="AS24" i="14"/>
  <c r="AQ24" i="14"/>
  <c r="AP24" i="14"/>
  <c r="AN24" i="14"/>
  <c r="AM24" i="14"/>
  <c r="AE24" i="14"/>
  <c r="AF24" i="14"/>
  <c r="CD16" i="14"/>
  <c r="CB16" i="14"/>
  <c r="BZ16" i="14"/>
  <c r="BX16" i="14"/>
  <c r="BV16" i="14"/>
  <c r="BS16" i="14"/>
  <c r="BK16" i="14"/>
  <c r="BC16" i="14"/>
  <c r="BB16" i="14"/>
  <c r="AZ16" i="14"/>
  <c r="AY16" i="14"/>
  <c r="AW16" i="14"/>
  <c r="AV16" i="14"/>
  <c r="AT16" i="14"/>
  <c r="AS16" i="14"/>
  <c r="AQ16" i="14"/>
  <c r="AP16" i="14"/>
  <c r="AN16" i="14"/>
  <c r="AM16" i="14"/>
  <c r="AD16" i="14"/>
  <c r="AE16" i="14"/>
  <c r="AF16" i="14"/>
  <c r="CD14" i="14"/>
  <c r="CB14" i="14"/>
  <c r="BZ14" i="14"/>
  <c r="BX14" i="14"/>
  <c r="BV14" i="14"/>
  <c r="BS14" i="14"/>
  <c r="BK14" i="14"/>
  <c r="BC14" i="14"/>
  <c r="BB14" i="14"/>
  <c r="AZ14" i="14"/>
  <c r="AY14" i="14"/>
  <c r="AW14" i="14"/>
  <c r="AV14" i="14"/>
  <c r="AT14" i="14"/>
  <c r="AS14" i="14"/>
  <c r="AQ14" i="14"/>
  <c r="AP14" i="14"/>
  <c r="AN14" i="14"/>
  <c r="AM14" i="14"/>
  <c r="AD14" i="14"/>
  <c r="AE14" i="14"/>
  <c r="AF14" i="14"/>
  <c r="CD13" i="14"/>
  <c r="CB13" i="14"/>
  <c r="BZ13" i="14"/>
  <c r="BX13" i="14"/>
  <c r="BV13" i="14"/>
  <c r="BS13" i="14"/>
  <c r="BK13" i="14"/>
  <c r="BC13" i="14"/>
  <c r="BB13" i="14"/>
  <c r="AZ13" i="14"/>
  <c r="AY13" i="14"/>
  <c r="AW13" i="14"/>
  <c r="AV13" i="14"/>
  <c r="AT13" i="14"/>
  <c r="AS13" i="14"/>
  <c r="AQ13" i="14"/>
  <c r="AP13" i="14"/>
  <c r="AN13" i="14"/>
  <c r="AM13" i="14"/>
  <c r="AD13" i="14"/>
  <c r="AE13" i="14"/>
  <c r="AF13" i="14"/>
  <c r="CD12" i="14"/>
  <c r="CB12" i="14"/>
  <c r="BZ12" i="14"/>
  <c r="BX12" i="14"/>
  <c r="BV12" i="14"/>
  <c r="BS12" i="14"/>
  <c r="BK12" i="14"/>
  <c r="BC12" i="14"/>
  <c r="BB12" i="14"/>
  <c r="AZ12" i="14"/>
  <c r="AY12" i="14"/>
  <c r="AW12" i="14"/>
  <c r="AV12" i="14"/>
  <c r="AT12" i="14"/>
  <c r="AS12" i="14"/>
  <c r="AQ12" i="14"/>
  <c r="AP12" i="14"/>
  <c r="AN12" i="14"/>
  <c r="AM12" i="14"/>
  <c r="AD12" i="14"/>
  <c r="AE12" i="14"/>
  <c r="AF12" i="14"/>
  <c r="CD7" i="14"/>
  <c r="CB7" i="14"/>
  <c r="BZ7" i="14"/>
  <c r="BX7" i="14"/>
  <c r="BV7" i="14"/>
  <c r="BS7" i="14"/>
  <c r="BK7" i="14"/>
  <c r="BC7" i="14"/>
  <c r="BB7" i="14"/>
  <c r="AZ7" i="14"/>
  <c r="AY7" i="14"/>
  <c r="AW7" i="14"/>
  <c r="AV7" i="14"/>
  <c r="AT7" i="14"/>
  <c r="AS7" i="14"/>
  <c r="AQ7" i="14"/>
  <c r="AP7" i="14"/>
  <c r="AN7" i="14"/>
  <c r="AM7" i="14"/>
  <c r="AE7" i="14"/>
  <c r="AF7" i="14"/>
  <c r="CD4" i="14"/>
  <c r="CB4" i="14"/>
  <c r="BZ4" i="14"/>
  <c r="BX4" i="14"/>
  <c r="BV4" i="14"/>
  <c r="BS4" i="14"/>
  <c r="BK4" i="14"/>
  <c r="BC4" i="14"/>
  <c r="BB4" i="14"/>
  <c r="AZ4" i="14"/>
  <c r="AY4" i="14"/>
  <c r="AW4" i="14"/>
  <c r="AV4" i="14"/>
  <c r="AT4" i="14"/>
  <c r="AS4" i="14"/>
  <c r="AQ4" i="14"/>
  <c r="AP4" i="14"/>
  <c r="AN4" i="14"/>
  <c r="AM4" i="14"/>
  <c r="AD4" i="14"/>
  <c r="AE4" i="14"/>
  <c r="AF4" i="14"/>
  <c r="CD106" i="14"/>
  <c r="CB106" i="14"/>
  <c r="BZ106" i="14"/>
  <c r="BX106" i="14"/>
  <c r="BV106" i="14"/>
  <c r="BS106" i="14"/>
  <c r="BK106" i="14"/>
  <c r="BC106" i="14"/>
  <c r="BB106" i="14"/>
  <c r="AZ106" i="14"/>
  <c r="AY106" i="14"/>
  <c r="AW106" i="14"/>
  <c r="AV106" i="14"/>
  <c r="AT106" i="14"/>
  <c r="AS106" i="14"/>
  <c r="AQ106" i="14"/>
  <c r="AP106" i="14"/>
  <c r="AN106" i="14"/>
  <c r="AM106" i="14"/>
  <c r="AD106" i="14"/>
  <c r="AE106" i="14"/>
  <c r="AF106" i="14"/>
  <c r="CD105" i="14"/>
  <c r="CB105" i="14"/>
  <c r="BZ105" i="14"/>
  <c r="BX105" i="14"/>
  <c r="BV105" i="14"/>
  <c r="BS105" i="14"/>
  <c r="BK105" i="14"/>
  <c r="BC105" i="14"/>
  <c r="BB105" i="14"/>
  <c r="AZ105" i="14"/>
  <c r="AY105" i="14"/>
  <c r="AW105" i="14"/>
  <c r="AV105" i="14"/>
  <c r="AT105" i="14"/>
  <c r="AS105" i="14"/>
  <c r="AQ105" i="14"/>
  <c r="AP105" i="14"/>
  <c r="AN105" i="14"/>
  <c r="AM105" i="14"/>
  <c r="AE105" i="14"/>
  <c r="AF105" i="14"/>
  <c r="CD102" i="14"/>
  <c r="CB102" i="14"/>
  <c r="BZ102" i="14"/>
  <c r="BX102" i="14"/>
  <c r="BV102" i="14"/>
  <c r="BS102" i="14"/>
  <c r="BK102" i="14"/>
  <c r="BC102" i="14"/>
  <c r="BB102" i="14"/>
  <c r="AZ102" i="14"/>
  <c r="AY102" i="14"/>
  <c r="AW102" i="14"/>
  <c r="AV102" i="14"/>
  <c r="AT102" i="14"/>
  <c r="AS102" i="14"/>
  <c r="AQ102" i="14"/>
  <c r="AP102" i="14"/>
  <c r="AN102" i="14"/>
  <c r="AM102" i="14"/>
  <c r="AE102" i="14"/>
  <c r="AF102" i="14"/>
  <c r="CD101" i="14"/>
  <c r="CB101" i="14"/>
  <c r="BZ101" i="14"/>
  <c r="BX101" i="14"/>
  <c r="BV101" i="14"/>
  <c r="BS101" i="14"/>
  <c r="BK101" i="14"/>
  <c r="BC101" i="14"/>
  <c r="BB101" i="14"/>
  <c r="AZ101" i="14"/>
  <c r="AY101" i="14"/>
  <c r="AW101" i="14"/>
  <c r="AV101" i="14"/>
  <c r="AT101" i="14"/>
  <c r="AS101" i="14"/>
  <c r="AQ101" i="14"/>
  <c r="AP101" i="14"/>
  <c r="AN101" i="14"/>
  <c r="AM101" i="14"/>
  <c r="AE101" i="14"/>
  <c r="AF101" i="14"/>
  <c r="CD100" i="14"/>
  <c r="CB100" i="14"/>
  <c r="BZ100" i="14"/>
  <c r="BX100" i="14"/>
  <c r="BV100" i="14"/>
  <c r="BS100" i="14"/>
  <c r="BK100" i="14"/>
  <c r="BC100" i="14"/>
  <c r="BB100" i="14"/>
  <c r="AZ100" i="14"/>
  <c r="AY100" i="14"/>
  <c r="AW100" i="14"/>
  <c r="AV100" i="14"/>
  <c r="AT100" i="14"/>
  <c r="AS100" i="14"/>
  <c r="AQ100" i="14"/>
  <c r="AP100" i="14"/>
  <c r="AN100" i="14"/>
  <c r="AM100" i="14"/>
  <c r="AE100" i="14"/>
  <c r="AF100" i="14"/>
  <c r="CD97" i="14"/>
  <c r="CB97" i="14"/>
  <c r="BZ97" i="14"/>
  <c r="BX97" i="14"/>
  <c r="BV97" i="14"/>
  <c r="BS97" i="14"/>
  <c r="BK97" i="14"/>
  <c r="BC97" i="14"/>
  <c r="BB97" i="14"/>
  <c r="AZ97" i="14"/>
  <c r="AY97" i="14"/>
  <c r="AW97" i="14"/>
  <c r="AV97" i="14"/>
  <c r="AT97" i="14"/>
  <c r="AS97" i="14"/>
  <c r="AQ97" i="14"/>
  <c r="AP97" i="14"/>
  <c r="AN97" i="14"/>
  <c r="AM97" i="14"/>
  <c r="AE97" i="14"/>
  <c r="AF97" i="14"/>
  <c r="CD96" i="14"/>
  <c r="CB96" i="14"/>
  <c r="BZ96" i="14"/>
  <c r="BX96" i="14"/>
  <c r="BV96" i="14"/>
  <c r="BS96" i="14"/>
  <c r="BK96" i="14"/>
  <c r="BC96" i="14"/>
  <c r="BB96" i="14"/>
  <c r="AZ96" i="14"/>
  <c r="AY96" i="14"/>
  <c r="AW96" i="14"/>
  <c r="AV96" i="14"/>
  <c r="AT96" i="14"/>
  <c r="AS96" i="14"/>
  <c r="AQ96" i="14"/>
  <c r="AP96" i="14"/>
  <c r="AN96" i="14"/>
  <c r="AM96" i="14"/>
  <c r="AE96" i="14"/>
  <c r="AF96" i="14"/>
  <c r="CD95" i="14"/>
  <c r="CB95" i="14"/>
  <c r="BZ95" i="14"/>
  <c r="BX95" i="14"/>
  <c r="BV95" i="14"/>
  <c r="BS95" i="14"/>
  <c r="BK95" i="14"/>
  <c r="BC95" i="14"/>
  <c r="BB95" i="14"/>
  <c r="AZ95" i="14"/>
  <c r="AY95" i="14"/>
  <c r="AW95" i="14"/>
  <c r="AV95" i="14"/>
  <c r="AT95" i="14"/>
  <c r="AS95" i="14"/>
  <c r="AQ95" i="14"/>
  <c r="AP95" i="14"/>
  <c r="AN95" i="14"/>
  <c r="AM95" i="14"/>
  <c r="AD95" i="14"/>
  <c r="AE95" i="14"/>
  <c r="AF95" i="14"/>
  <c r="CD94" i="14"/>
  <c r="CB94" i="14"/>
  <c r="BZ94" i="14"/>
  <c r="BX94" i="14"/>
  <c r="BV94" i="14"/>
  <c r="BS94" i="14"/>
  <c r="BK94" i="14"/>
  <c r="BC94" i="14"/>
  <c r="BB94" i="14"/>
  <c r="AZ94" i="14"/>
  <c r="AY94" i="14"/>
  <c r="AW94" i="14"/>
  <c r="AV94" i="14"/>
  <c r="AT94" i="14"/>
  <c r="AS94" i="14"/>
  <c r="AQ94" i="14"/>
  <c r="AP94" i="14"/>
  <c r="AN94" i="14"/>
  <c r="AM94" i="14"/>
  <c r="AE94" i="14"/>
  <c r="AF94" i="14"/>
  <c r="CD92" i="14"/>
  <c r="CB92" i="14"/>
  <c r="BZ92" i="14"/>
  <c r="BX92" i="14"/>
  <c r="BV92" i="14"/>
  <c r="BS92" i="14"/>
  <c r="BK92" i="14"/>
  <c r="BC92" i="14"/>
  <c r="BB92" i="14"/>
  <c r="AZ92" i="14"/>
  <c r="AY92" i="14"/>
  <c r="AW92" i="14"/>
  <c r="AV92" i="14"/>
  <c r="AT92" i="14"/>
  <c r="AS92" i="14"/>
  <c r="AQ92" i="14"/>
  <c r="AP92" i="14"/>
  <c r="AN92" i="14"/>
  <c r="AM92" i="14"/>
  <c r="AD92" i="14"/>
  <c r="AE92" i="14"/>
  <c r="AF92" i="14"/>
  <c r="CD91" i="14"/>
  <c r="CB91" i="14"/>
  <c r="BZ91" i="14"/>
  <c r="BX91" i="14"/>
  <c r="BV91" i="14"/>
  <c r="BS91" i="14"/>
  <c r="BK91" i="14"/>
  <c r="BC91" i="14"/>
  <c r="BB91" i="14"/>
  <c r="AZ91" i="14"/>
  <c r="AY91" i="14"/>
  <c r="AW91" i="14"/>
  <c r="AV91" i="14"/>
  <c r="AT91" i="14"/>
  <c r="AS91" i="14"/>
  <c r="AQ91" i="14"/>
  <c r="AP91" i="14"/>
  <c r="AN91" i="14"/>
  <c r="AM91" i="14"/>
  <c r="AD91" i="14"/>
  <c r="AE91" i="14"/>
  <c r="AF91" i="14"/>
  <c r="CD90" i="14"/>
  <c r="CB90" i="14"/>
  <c r="BZ90" i="14"/>
  <c r="BX90" i="14"/>
  <c r="BV90" i="14"/>
  <c r="BS90" i="14"/>
  <c r="BK90" i="14"/>
  <c r="BC90" i="14"/>
  <c r="BB90" i="14"/>
  <c r="AZ90" i="14"/>
  <c r="AY90" i="14"/>
  <c r="AW90" i="14"/>
  <c r="AV90" i="14"/>
  <c r="AT90" i="14"/>
  <c r="AS90" i="14"/>
  <c r="AQ90" i="14"/>
  <c r="AP90" i="14"/>
  <c r="AN90" i="14"/>
  <c r="AM90" i="14"/>
  <c r="AD90" i="14"/>
  <c r="AE90" i="14"/>
  <c r="AF90" i="14"/>
  <c r="CD87" i="14"/>
  <c r="CB87" i="14"/>
  <c r="BZ87" i="14"/>
  <c r="BX87" i="14"/>
  <c r="BV87" i="14"/>
  <c r="BS87" i="14"/>
  <c r="BK87" i="14"/>
  <c r="BC87" i="14"/>
  <c r="BB87" i="14"/>
  <c r="AZ87" i="14"/>
  <c r="AY87" i="14"/>
  <c r="AW87" i="14"/>
  <c r="AV87" i="14"/>
  <c r="AT87" i="14"/>
  <c r="AS87" i="14"/>
  <c r="AQ87" i="14"/>
  <c r="AP87" i="14"/>
  <c r="AN87" i="14"/>
  <c r="AM87" i="14"/>
  <c r="AD87" i="14"/>
  <c r="AE87" i="14"/>
  <c r="AF87" i="14"/>
  <c r="CD84" i="14"/>
  <c r="CB84" i="14"/>
  <c r="BZ84" i="14"/>
  <c r="BX84" i="14"/>
  <c r="BV84" i="14"/>
  <c r="BS84" i="14"/>
  <c r="BK84" i="14"/>
  <c r="BC84" i="14"/>
  <c r="BB84" i="14"/>
  <c r="AX84" i="14"/>
  <c r="AZ84" i="14"/>
  <c r="AY84" i="14"/>
  <c r="AU84" i="14"/>
  <c r="AW84" i="14"/>
  <c r="AV84" i="14"/>
  <c r="AR84" i="14"/>
  <c r="AT84" i="14"/>
  <c r="AS84" i="14"/>
  <c r="AQ84" i="14"/>
  <c r="AP84" i="14"/>
  <c r="AN84" i="14"/>
  <c r="AM84" i="14"/>
  <c r="AE84" i="14"/>
  <c r="AF84" i="14"/>
  <c r="CD83" i="14"/>
  <c r="CB83" i="14"/>
  <c r="BZ83" i="14"/>
  <c r="BX83" i="14"/>
  <c r="BV83" i="14"/>
  <c r="BS83" i="14"/>
  <c r="BK83" i="14"/>
  <c r="BC83" i="14"/>
  <c r="BB83" i="14"/>
  <c r="AZ83" i="14"/>
  <c r="AY83" i="14"/>
  <c r="AW83" i="14"/>
  <c r="AV83" i="14"/>
  <c r="AT83" i="14"/>
  <c r="AS83" i="14"/>
  <c r="AQ83" i="14"/>
  <c r="AP83" i="14"/>
  <c r="AN83" i="14"/>
  <c r="AM83" i="14"/>
  <c r="AD83" i="14"/>
  <c r="AE83" i="14"/>
  <c r="AF83" i="14"/>
  <c r="CD81" i="14"/>
  <c r="CB81" i="14"/>
  <c r="BZ81" i="14"/>
  <c r="BX81" i="14"/>
  <c r="BV81" i="14"/>
  <c r="BS81" i="14"/>
  <c r="BK81" i="14"/>
  <c r="BC81" i="14"/>
  <c r="BB81" i="14"/>
  <c r="AZ81" i="14"/>
  <c r="AY81" i="14"/>
  <c r="AW81" i="14"/>
  <c r="AV81" i="14"/>
  <c r="AT81" i="14"/>
  <c r="AS81" i="14"/>
  <c r="AQ81" i="14"/>
  <c r="AP81" i="14"/>
  <c r="AN81" i="14"/>
  <c r="AM81" i="14"/>
  <c r="AE81" i="14"/>
  <c r="AF81" i="14"/>
  <c r="CD80" i="14"/>
  <c r="CB80" i="14"/>
  <c r="BZ80" i="14"/>
  <c r="BX80" i="14"/>
  <c r="BV80" i="14"/>
  <c r="BS80" i="14"/>
  <c r="BK80" i="14"/>
  <c r="BC80" i="14"/>
  <c r="BB80" i="14"/>
  <c r="AZ80" i="14"/>
  <c r="AY80" i="14"/>
  <c r="AW80" i="14"/>
  <c r="AV80" i="14"/>
  <c r="AT80" i="14"/>
  <c r="AS80" i="14"/>
  <c r="AQ80" i="14"/>
  <c r="AP80" i="14"/>
  <c r="AN80" i="14"/>
  <c r="AM80" i="14"/>
  <c r="AE80" i="14"/>
  <c r="AF80" i="14"/>
  <c r="CD78" i="14"/>
  <c r="CB78" i="14"/>
  <c r="BZ78" i="14"/>
  <c r="BX78" i="14"/>
  <c r="BV78" i="14"/>
  <c r="BS78" i="14"/>
  <c r="BK78" i="14"/>
  <c r="BC78" i="14"/>
  <c r="BB78" i="14"/>
  <c r="AZ78" i="14"/>
  <c r="AY78" i="14"/>
  <c r="AW78" i="14"/>
  <c r="AV78" i="14"/>
  <c r="AT78" i="14"/>
  <c r="AS78" i="14"/>
  <c r="AQ78" i="14"/>
  <c r="AP78" i="14"/>
  <c r="AN78" i="14"/>
  <c r="AM78" i="14"/>
  <c r="AD78" i="14"/>
  <c r="AE78" i="14"/>
  <c r="AF78" i="14"/>
  <c r="CD77" i="14"/>
  <c r="CB77" i="14"/>
  <c r="BZ77" i="14"/>
  <c r="BX77" i="14"/>
  <c r="BV77" i="14"/>
  <c r="BS77" i="14"/>
  <c r="BK77" i="14"/>
  <c r="BC77" i="14"/>
  <c r="BB77" i="14"/>
  <c r="AZ77" i="14"/>
  <c r="AY77" i="14"/>
  <c r="AW77" i="14"/>
  <c r="AV77" i="14"/>
  <c r="AT77" i="14"/>
  <c r="AS77" i="14"/>
  <c r="AQ77" i="14"/>
  <c r="AP77" i="14"/>
  <c r="AN77" i="14"/>
  <c r="AM77" i="14"/>
  <c r="AE77" i="14"/>
  <c r="AF77" i="14"/>
  <c r="CD76" i="14"/>
  <c r="CB76" i="14"/>
  <c r="BZ76" i="14"/>
  <c r="BX76" i="14"/>
  <c r="BV76" i="14"/>
  <c r="BS76" i="14"/>
  <c r="BK76" i="14"/>
  <c r="BC76" i="14"/>
  <c r="BB76" i="14"/>
  <c r="AZ76" i="14"/>
  <c r="AY76" i="14"/>
  <c r="AW76" i="14"/>
  <c r="AV76" i="14"/>
  <c r="AT76" i="14"/>
  <c r="AS76" i="14"/>
  <c r="AQ76" i="14"/>
  <c r="AP76" i="14"/>
  <c r="AN76" i="14"/>
  <c r="AM76" i="14"/>
  <c r="AE76" i="14"/>
  <c r="AF76" i="14"/>
  <c r="CD75" i="14"/>
  <c r="CB75" i="14"/>
  <c r="BZ75" i="14"/>
  <c r="BX75" i="14"/>
  <c r="BV75" i="14"/>
  <c r="BS75" i="14"/>
  <c r="BK75" i="14"/>
  <c r="BC75" i="14"/>
  <c r="BB75" i="14"/>
  <c r="AZ75" i="14"/>
  <c r="AY75" i="14"/>
  <c r="AW75" i="14"/>
  <c r="AV75" i="14"/>
  <c r="AT75" i="14"/>
  <c r="AS75" i="14"/>
  <c r="AQ75" i="14"/>
  <c r="AP75" i="14"/>
  <c r="AN75" i="14"/>
  <c r="AM75" i="14"/>
  <c r="AE75" i="14"/>
  <c r="AF75" i="14"/>
  <c r="CD73" i="14"/>
  <c r="CB73" i="14"/>
  <c r="BZ73" i="14"/>
  <c r="BX73" i="14"/>
  <c r="BV73" i="14"/>
  <c r="BS73" i="14"/>
  <c r="BK73" i="14"/>
  <c r="BC73" i="14"/>
  <c r="BB73" i="14"/>
  <c r="AZ73" i="14"/>
  <c r="AY73" i="14"/>
  <c r="AW73" i="14"/>
  <c r="AV73" i="14"/>
  <c r="AT73" i="14"/>
  <c r="AS73" i="14"/>
  <c r="AQ73" i="14"/>
  <c r="AP73" i="14"/>
  <c r="AN73" i="14"/>
  <c r="AM73" i="14"/>
  <c r="AE73" i="14"/>
  <c r="AF73" i="14"/>
  <c r="CD70" i="14"/>
  <c r="CB70" i="14"/>
  <c r="BZ70" i="14"/>
  <c r="BX70" i="14"/>
  <c r="BV70" i="14"/>
  <c r="BS70" i="14"/>
  <c r="BK70" i="14"/>
  <c r="BC70" i="14"/>
  <c r="BB70" i="14"/>
  <c r="AZ70" i="14"/>
  <c r="AY70" i="14"/>
  <c r="AW70" i="14"/>
  <c r="AV70" i="14"/>
  <c r="AT70" i="14"/>
  <c r="AS70" i="14"/>
  <c r="AQ70" i="14"/>
  <c r="AP70" i="14"/>
  <c r="AN70" i="14"/>
  <c r="AM70" i="14"/>
  <c r="AE70" i="14"/>
  <c r="AF70" i="14"/>
  <c r="CD67" i="14"/>
  <c r="CB67" i="14"/>
  <c r="BZ67" i="14"/>
  <c r="BX67" i="14"/>
  <c r="BV67" i="14"/>
  <c r="BS67" i="14"/>
  <c r="BK67" i="14"/>
  <c r="BC67" i="14"/>
  <c r="BB67" i="14"/>
  <c r="AZ67" i="14"/>
  <c r="AY67" i="14"/>
  <c r="AW67" i="14"/>
  <c r="AV67" i="14"/>
  <c r="AT67" i="14"/>
  <c r="AS67" i="14"/>
  <c r="AQ67" i="14"/>
  <c r="AP67" i="14"/>
  <c r="AN67" i="14"/>
  <c r="AM67" i="14"/>
  <c r="AD67" i="14"/>
  <c r="AE67" i="14"/>
  <c r="AF67" i="14"/>
  <c r="CD65" i="14"/>
  <c r="CB65" i="14"/>
  <c r="BZ65" i="14"/>
  <c r="BX65" i="14"/>
  <c r="BV65" i="14"/>
  <c r="BS65" i="14"/>
  <c r="BK65" i="14"/>
  <c r="BC65" i="14"/>
  <c r="BB65" i="14"/>
  <c r="AZ65" i="14"/>
  <c r="AY65" i="14"/>
  <c r="AW65" i="14"/>
  <c r="AV65" i="14"/>
  <c r="AT65" i="14"/>
  <c r="AS65" i="14"/>
  <c r="AQ65" i="14"/>
  <c r="AP65" i="14"/>
  <c r="AN65" i="14"/>
  <c r="AM65" i="14"/>
  <c r="AD65" i="14"/>
  <c r="AE65" i="14"/>
  <c r="AF65" i="14"/>
  <c r="CD64" i="14"/>
  <c r="CB64" i="14"/>
  <c r="BZ64" i="14"/>
  <c r="BX64" i="14"/>
  <c r="BV64" i="14"/>
  <c r="BS64" i="14"/>
  <c r="BK64" i="14"/>
  <c r="BA64" i="14"/>
  <c r="BC64" i="14"/>
  <c r="BB64" i="14"/>
  <c r="AZ64" i="14"/>
  <c r="AY64" i="14"/>
  <c r="AW64" i="14"/>
  <c r="AV64" i="14"/>
  <c r="AT64" i="14"/>
  <c r="AS64" i="14"/>
  <c r="AQ64" i="14"/>
  <c r="AP64" i="14"/>
  <c r="AN64" i="14"/>
  <c r="AM64" i="14"/>
  <c r="AE64" i="14"/>
  <c r="AF64" i="14"/>
  <c r="CD63" i="14"/>
  <c r="CB63" i="14"/>
  <c r="BZ63" i="14"/>
  <c r="BX63" i="14"/>
  <c r="BV63" i="14"/>
  <c r="BS63" i="14"/>
  <c r="BK63" i="14"/>
  <c r="BC63" i="14"/>
  <c r="BB63" i="14"/>
  <c r="AZ63" i="14"/>
  <c r="AY63" i="14"/>
  <c r="AW63" i="14"/>
  <c r="AV63" i="14"/>
  <c r="AT63" i="14"/>
  <c r="AS63" i="14"/>
  <c r="AQ63" i="14"/>
  <c r="AP63" i="14"/>
  <c r="AN63" i="14"/>
  <c r="AM63" i="14"/>
  <c r="AD63" i="14"/>
  <c r="AE63" i="14"/>
  <c r="AF63" i="14"/>
  <c r="CD60" i="14"/>
  <c r="CB60" i="14"/>
  <c r="BZ60" i="14"/>
  <c r="BX60" i="14"/>
  <c r="BV60" i="14"/>
  <c r="BS60" i="14"/>
  <c r="BK60" i="14"/>
  <c r="BC60" i="14"/>
  <c r="BB60" i="14"/>
  <c r="AZ60" i="14"/>
  <c r="AY60" i="14"/>
  <c r="AW60" i="14"/>
  <c r="AV60" i="14"/>
  <c r="AT60" i="14"/>
  <c r="AS60" i="14"/>
  <c r="AQ60" i="14"/>
  <c r="AP60" i="14"/>
  <c r="AN60" i="14"/>
  <c r="AM60" i="14"/>
  <c r="AE60" i="14"/>
  <c r="AF60" i="14"/>
  <c r="CD57" i="14"/>
  <c r="CB57" i="14"/>
  <c r="BZ57" i="14"/>
  <c r="BX57" i="14"/>
  <c r="BV57" i="14"/>
  <c r="BS57" i="14"/>
  <c r="BK57" i="14"/>
  <c r="BC57" i="14"/>
  <c r="BB57" i="14"/>
  <c r="AZ57" i="14"/>
  <c r="AY57" i="14"/>
  <c r="AW57" i="14"/>
  <c r="AV57" i="14"/>
  <c r="AT57" i="14"/>
  <c r="AS57" i="14"/>
  <c r="AQ57" i="14"/>
  <c r="AP57" i="14"/>
  <c r="AN57" i="14"/>
  <c r="AM57" i="14"/>
  <c r="AE57" i="14"/>
  <c r="AF57" i="14"/>
  <c r="CD55" i="14"/>
  <c r="CB55" i="14"/>
  <c r="BZ55" i="14"/>
  <c r="BX55" i="14"/>
  <c r="BV55" i="14"/>
  <c r="BS55" i="14"/>
  <c r="BK55" i="14"/>
  <c r="BA55" i="14"/>
  <c r="BC55" i="14"/>
  <c r="BB55" i="14"/>
  <c r="AZ55" i="14"/>
  <c r="AY55" i="14"/>
  <c r="AW55" i="14"/>
  <c r="AV55" i="14"/>
  <c r="AT55" i="14"/>
  <c r="AS55" i="14"/>
  <c r="AQ55" i="14"/>
  <c r="AP55" i="14"/>
  <c r="AN55" i="14"/>
  <c r="AM55" i="14"/>
  <c r="AE55" i="14"/>
  <c r="AF55" i="14"/>
  <c r="CD54" i="14"/>
  <c r="CB54" i="14"/>
  <c r="BZ54" i="14"/>
  <c r="BX54" i="14"/>
  <c r="BV54" i="14"/>
  <c r="BS54" i="14"/>
  <c r="BK54" i="14"/>
  <c r="BA54" i="14"/>
  <c r="BC54" i="14"/>
  <c r="BB54" i="14"/>
  <c r="AZ54" i="14"/>
  <c r="AY54" i="14"/>
  <c r="AW54" i="14"/>
  <c r="AV54" i="14"/>
  <c r="AT54" i="14"/>
  <c r="AS54" i="14"/>
  <c r="AQ54" i="14"/>
  <c r="AP54" i="14"/>
  <c r="AN54" i="14"/>
  <c r="AM54" i="14"/>
  <c r="AE54" i="14"/>
  <c r="AF54" i="14"/>
  <c r="CD53" i="14"/>
  <c r="CB53" i="14"/>
  <c r="BZ53" i="14"/>
  <c r="BX53" i="14"/>
  <c r="BV53" i="14"/>
  <c r="BS53" i="14"/>
  <c r="BK53" i="14"/>
  <c r="BA53" i="14"/>
  <c r="BC53" i="14"/>
  <c r="BB53" i="14"/>
  <c r="AZ53" i="14"/>
  <c r="AY53" i="14"/>
  <c r="AW53" i="14"/>
  <c r="AV53" i="14"/>
  <c r="AT53" i="14"/>
  <c r="AS53" i="14"/>
  <c r="AQ53" i="14"/>
  <c r="AP53" i="14"/>
  <c r="AN53" i="14"/>
  <c r="AM53" i="14"/>
  <c r="AE53" i="14"/>
  <c r="AF53" i="14"/>
  <c r="CD52" i="14"/>
  <c r="CB52" i="14"/>
  <c r="BZ52" i="14"/>
  <c r="BX52" i="14"/>
  <c r="BV52" i="14"/>
  <c r="BS52" i="14"/>
  <c r="BK52" i="14"/>
  <c r="BA52" i="14"/>
  <c r="BC52" i="14"/>
  <c r="BB52" i="14"/>
  <c r="AZ52" i="14"/>
  <c r="AY52" i="14"/>
  <c r="AW52" i="14"/>
  <c r="AV52" i="14"/>
  <c r="AT52" i="14"/>
  <c r="AS52" i="14"/>
  <c r="AQ52" i="14"/>
  <c r="AP52" i="14"/>
  <c r="AN52" i="14"/>
  <c r="AM52" i="14"/>
  <c r="AE52" i="14"/>
  <c r="AF52" i="14"/>
  <c r="CD50" i="14"/>
  <c r="CB50" i="14"/>
  <c r="BZ50" i="14"/>
  <c r="BX50" i="14"/>
  <c r="BV50" i="14"/>
  <c r="BS50" i="14"/>
  <c r="BK50" i="14"/>
  <c r="BC50" i="14"/>
  <c r="BB50" i="14"/>
  <c r="AZ50" i="14"/>
  <c r="AY50" i="14"/>
  <c r="AW50" i="14"/>
  <c r="AV50" i="14"/>
  <c r="AT50" i="14"/>
  <c r="AS50" i="14"/>
  <c r="AQ50" i="14"/>
  <c r="AP50" i="14"/>
  <c r="AN50" i="14"/>
  <c r="AM50" i="14"/>
  <c r="AD50" i="14"/>
  <c r="AE50" i="14"/>
  <c r="AF50" i="14"/>
  <c r="CD46" i="14"/>
  <c r="CB46" i="14"/>
  <c r="BZ46" i="14"/>
  <c r="BX46" i="14"/>
  <c r="BV46" i="14"/>
  <c r="BS46" i="14"/>
  <c r="BK46" i="14"/>
  <c r="BC46" i="14"/>
  <c r="BB46" i="14"/>
  <c r="AZ46" i="14"/>
  <c r="AY46" i="14"/>
  <c r="AW46" i="14"/>
  <c r="AV46" i="14"/>
  <c r="AT46" i="14"/>
  <c r="AS46" i="14"/>
  <c r="AQ46" i="14"/>
  <c r="AP46" i="14"/>
  <c r="AN46" i="14"/>
  <c r="AM46" i="14"/>
  <c r="AE46" i="14"/>
  <c r="AF46" i="14"/>
  <c r="CD45" i="14"/>
  <c r="CB45" i="14"/>
  <c r="BZ45" i="14"/>
  <c r="BX45" i="14"/>
  <c r="BV45" i="14"/>
  <c r="BS45" i="14"/>
  <c r="BK45" i="14"/>
  <c r="BC45" i="14"/>
  <c r="BB45" i="14"/>
  <c r="AZ45" i="14"/>
  <c r="AY45" i="14"/>
  <c r="AW45" i="14"/>
  <c r="AV45" i="14"/>
  <c r="AT45" i="14"/>
  <c r="AS45" i="14"/>
  <c r="AQ45" i="14"/>
  <c r="AP45" i="14"/>
  <c r="AN45" i="14"/>
  <c r="AM45" i="14"/>
  <c r="AE45" i="14"/>
  <c r="AF45" i="14"/>
  <c r="CD44" i="14"/>
  <c r="CB44" i="14"/>
  <c r="BZ44" i="14"/>
  <c r="BX44" i="14"/>
  <c r="BV44" i="14"/>
  <c r="BS44" i="14"/>
  <c r="BK44" i="14"/>
  <c r="BA44" i="14"/>
  <c r="BC44" i="14"/>
  <c r="BB44" i="14"/>
  <c r="AZ44" i="14"/>
  <c r="AY44" i="14"/>
  <c r="AW44" i="14"/>
  <c r="AV44" i="14"/>
  <c r="AT44" i="14"/>
  <c r="AS44" i="14"/>
  <c r="AQ44" i="14"/>
  <c r="AP44" i="14"/>
  <c r="AN44" i="14"/>
  <c r="AM44" i="14"/>
  <c r="AE44" i="14"/>
  <c r="AF44" i="14"/>
  <c r="CD42" i="14"/>
  <c r="CB42" i="14"/>
  <c r="BZ42" i="14"/>
  <c r="BX42" i="14"/>
  <c r="BV42" i="14"/>
  <c r="BS42" i="14"/>
  <c r="BK42" i="14"/>
  <c r="BC42" i="14"/>
  <c r="BB42" i="14"/>
  <c r="AZ42" i="14"/>
  <c r="AY42" i="14"/>
  <c r="AW42" i="14"/>
  <c r="AV42" i="14"/>
  <c r="AT42" i="14"/>
  <c r="AS42" i="14"/>
  <c r="AQ42" i="14"/>
  <c r="AP42" i="14"/>
  <c r="AN42" i="14"/>
  <c r="AM42" i="14"/>
  <c r="AE42" i="14"/>
  <c r="AF42" i="14"/>
  <c r="CD41" i="14"/>
  <c r="CB41" i="14"/>
  <c r="BZ41" i="14"/>
  <c r="BX41" i="14"/>
  <c r="BV41" i="14"/>
  <c r="BS41" i="14"/>
  <c r="BK41" i="14"/>
  <c r="BC41" i="14"/>
  <c r="BB41" i="14"/>
  <c r="AZ41" i="14"/>
  <c r="AY41" i="14"/>
  <c r="AW41" i="14"/>
  <c r="AV41" i="14"/>
  <c r="AT41" i="14"/>
  <c r="AS41" i="14"/>
  <c r="AQ41" i="14"/>
  <c r="AP41" i="14"/>
  <c r="AN41" i="14"/>
  <c r="AM41" i="14"/>
  <c r="AE41" i="14"/>
  <c r="AF41" i="14"/>
  <c r="CD38" i="14"/>
  <c r="CB38" i="14"/>
  <c r="BZ38" i="14"/>
  <c r="BX38" i="14"/>
  <c r="BV38" i="14"/>
  <c r="BS38" i="14"/>
  <c r="BK38" i="14"/>
  <c r="BC38" i="14"/>
  <c r="BB38" i="14"/>
  <c r="AZ38" i="14"/>
  <c r="AY38" i="14"/>
  <c r="AW38" i="14"/>
  <c r="AV38" i="14"/>
  <c r="AT38" i="14"/>
  <c r="AS38" i="14"/>
  <c r="AQ38" i="14"/>
  <c r="AP38" i="14"/>
  <c r="AN38" i="14"/>
  <c r="AM38" i="14"/>
  <c r="AD38" i="14"/>
  <c r="AE38" i="14"/>
  <c r="AF38" i="14"/>
  <c r="CD37" i="14"/>
  <c r="CB37" i="14"/>
  <c r="BZ37" i="14"/>
  <c r="BX37" i="14"/>
  <c r="BV37" i="14"/>
  <c r="BS37" i="14"/>
  <c r="BK37" i="14"/>
  <c r="BC37" i="14"/>
  <c r="BB37" i="14"/>
  <c r="AZ37" i="14"/>
  <c r="AY37" i="14"/>
  <c r="AW37" i="14"/>
  <c r="AV37" i="14"/>
  <c r="AT37" i="14"/>
  <c r="AS37" i="14"/>
  <c r="AQ37" i="14"/>
  <c r="AP37" i="14"/>
  <c r="AN37" i="14"/>
  <c r="AM37" i="14"/>
  <c r="AE37" i="14"/>
  <c r="AF37" i="14"/>
  <c r="CD36" i="14"/>
  <c r="CB36" i="14"/>
  <c r="BZ36" i="14"/>
  <c r="BX36" i="14"/>
  <c r="BV36" i="14"/>
  <c r="BS36" i="14"/>
  <c r="BK36" i="14"/>
  <c r="BC36" i="14"/>
  <c r="BB36" i="14"/>
  <c r="AZ36" i="14"/>
  <c r="AY36" i="14"/>
  <c r="AW36" i="14"/>
  <c r="AV36" i="14"/>
  <c r="AT36" i="14"/>
  <c r="AS36" i="14"/>
  <c r="AQ36" i="14"/>
  <c r="AP36" i="14"/>
  <c r="AN36" i="14"/>
  <c r="AM36" i="14"/>
  <c r="AD36" i="14"/>
  <c r="AE36" i="14"/>
  <c r="AF36" i="14"/>
  <c r="CD34" i="14"/>
  <c r="CB34" i="14"/>
  <c r="BZ34" i="14"/>
  <c r="BX34" i="14"/>
  <c r="BV34" i="14"/>
  <c r="BS34" i="14"/>
  <c r="BK34" i="14"/>
  <c r="BC34" i="14"/>
  <c r="BB34" i="14"/>
  <c r="AZ34" i="14"/>
  <c r="AY34" i="14"/>
  <c r="AW34" i="14"/>
  <c r="AV34" i="14"/>
  <c r="AT34" i="14"/>
  <c r="AS34" i="14"/>
  <c r="AQ34" i="14"/>
  <c r="AP34" i="14"/>
  <c r="AN34" i="14"/>
  <c r="AM34" i="14"/>
  <c r="AE34" i="14"/>
  <c r="AF34" i="14"/>
  <c r="CD33" i="14"/>
  <c r="CB33" i="14"/>
  <c r="BZ33" i="14"/>
  <c r="BX33" i="14"/>
  <c r="BV33" i="14"/>
  <c r="BS33" i="14"/>
  <c r="BK33" i="14"/>
  <c r="BC33" i="14"/>
  <c r="BB33" i="14"/>
  <c r="AZ33" i="14"/>
  <c r="AY33" i="14"/>
  <c r="AW33" i="14"/>
  <c r="AV33" i="14"/>
  <c r="AT33" i="14"/>
  <c r="AS33" i="14"/>
  <c r="AQ33" i="14"/>
  <c r="AP33" i="14"/>
  <c r="AN33" i="14"/>
  <c r="AM33" i="14"/>
  <c r="AD33" i="14"/>
  <c r="AE33" i="14"/>
  <c r="AF33" i="14"/>
  <c r="CD32" i="14"/>
  <c r="CB32" i="14"/>
  <c r="BZ32" i="14"/>
  <c r="BX32" i="14"/>
  <c r="BV32" i="14"/>
  <c r="BS32" i="14"/>
  <c r="BK32" i="14"/>
  <c r="BC32" i="14"/>
  <c r="BB32" i="14"/>
  <c r="AZ32" i="14"/>
  <c r="AY32" i="14"/>
  <c r="AW32" i="14"/>
  <c r="AV32" i="14"/>
  <c r="AT32" i="14"/>
  <c r="AS32" i="14"/>
  <c r="AQ32" i="14"/>
  <c r="AP32" i="14"/>
  <c r="AN32" i="14"/>
  <c r="AM32" i="14"/>
  <c r="AD32" i="14"/>
  <c r="AE32" i="14"/>
  <c r="AF32" i="14"/>
  <c r="CD31" i="14"/>
  <c r="CB31" i="14"/>
  <c r="BZ31" i="14"/>
  <c r="BX31" i="14"/>
  <c r="BV31" i="14"/>
  <c r="BS31" i="14"/>
  <c r="BK31" i="14"/>
  <c r="BA31" i="14"/>
  <c r="BC31" i="14"/>
  <c r="BB31" i="14"/>
  <c r="AZ31" i="14"/>
  <c r="AY31" i="14"/>
  <c r="AW31" i="14"/>
  <c r="AV31" i="14"/>
  <c r="AT31" i="14"/>
  <c r="AS31" i="14"/>
  <c r="AQ31" i="14"/>
  <c r="AP31" i="14"/>
  <c r="AN31" i="14"/>
  <c r="AM31" i="14"/>
  <c r="AE31" i="14"/>
  <c r="AF31" i="14"/>
  <c r="CD30" i="14"/>
  <c r="CB30" i="14"/>
  <c r="BZ30" i="14"/>
  <c r="BX30" i="14"/>
  <c r="BV30" i="14"/>
  <c r="BS30" i="14"/>
  <c r="BK30" i="14"/>
  <c r="BC30" i="14"/>
  <c r="BB30" i="14"/>
  <c r="AZ30" i="14"/>
  <c r="AY30" i="14"/>
  <c r="AW30" i="14"/>
  <c r="AV30" i="14"/>
  <c r="AR30" i="14"/>
  <c r="AT30" i="14"/>
  <c r="AS30" i="14"/>
  <c r="AQ30" i="14"/>
  <c r="AP30" i="14"/>
  <c r="AN30" i="14"/>
  <c r="AM30" i="14"/>
  <c r="AE30" i="14"/>
  <c r="AF30" i="14"/>
  <c r="BY29" i="14"/>
  <c r="BZ29" i="14"/>
  <c r="CB29" i="14"/>
  <c r="CE29" i="14"/>
  <c r="CD29" i="14"/>
  <c r="BX29" i="14"/>
  <c r="BV29" i="14"/>
  <c r="BS29" i="14"/>
  <c r="BK29" i="14"/>
  <c r="AR29" i="14"/>
  <c r="BA29" i="14"/>
  <c r="BC29" i="14"/>
  <c r="BB29" i="14"/>
  <c r="AZ29" i="14"/>
  <c r="AY29" i="14"/>
  <c r="AW29" i="14"/>
  <c r="AV29" i="14"/>
  <c r="AT29" i="14"/>
  <c r="AS29" i="14"/>
  <c r="AQ29" i="14"/>
  <c r="AP29" i="14"/>
  <c r="AN29" i="14"/>
  <c r="AM29" i="14"/>
  <c r="AE29" i="14"/>
  <c r="AF29" i="14"/>
  <c r="CD28" i="14"/>
  <c r="CB28" i="14"/>
  <c r="BY28" i="14"/>
  <c r="BZ28" i="14"/>
  <c r="BX28" i="14"/>
  <c r="BV28" i="14"/>
  <c r="BS28" i="14"/>
  <c r="BK28" i="14"/>
  <c r="BA28" i="14"/>
  <c r="BC28" i="14"/>
  <c r="BB28" i="14"/>
  <c r="AZ28" i="14"/>
  <c r="AY28" i="14"/>
  <c r="AW28" i="14"/>
  <c r="AV28" i="14"/>
  <c r="AR28" i="14"/>
  <c r="AT28" i="14"/>
  <c r="AS28" i="14"/>
  <c r="AQ28" i="14"/>
  <c r="AP28" i="14"/>
  <c r="AN28" i="14"/>
  <c r="AM28" i="14"/>
  <c r="AE28" i="14"/>
  <c r="AF28" i="14"/>
  <c r="CD27" i="14"/>
  <c r="CB27" i="14"/>
  <c r="BZ27" i="14"/>
  <c r="BX27" i="14"/>
  <c r="BV27" i="14"/>
  <c r="BS27" i="14"/>
  <c r="BK27" i="14"/>
  <c r="BC27" i="14"/>
  <c r="BB27" i="14"/>
  <c r="AZ27" i="14"/>
  <c r="AY27" i="14"/>
  <c r="AW27" i="14"/>
  <c r="AV27" i="14"/>
  <c r="AT27" i="14"/>
  <c r="AS27" i="14"/>
  <c r="AQ27" i="14"/>
  <c r="AP27" i="14"/>
  <c r="AN27" i="14"/>
  <c r="AM27" i="14"/>
  <c r="AE27" i="14"/>
  <c r="AF27" i="14"/>
  <c r="CD26" i="14"/>
  <c r="CB26" i="14"/>
  <c r="BZ26" i="14"/>
  <c r="BX26" i="14"/>
  <c r="BV26" i="14"/>
  <c r="BS26" i="14"/>
  <c r="BK26" i="14"/>
  <c r="BC26" i="14"/>
  <c r="BB26" i="14"/>
  <c r="AZ26" i="14"/>
  <c r="AY26" i="14"/>
  <c r="AW26" i="14"/>
  <c r="AV26" i="14"/>
  <c r="AT26" i="14"/>
  <c r="AS26" i="14"/>
  <c r="AQ26" i="14"/>
  <c r="AP26" i="14"/>
  <c r="AN26" i="14"/>
  <c r="AM26" i="14"/>
  <c r="AE26" i="14"/>
  <c r="AF26" i="14"/>
  <c r="CD25" i="14"/>
  <c r="CB25" i="14"/>
  <c r="BZ25" i="14"/>
  <c r="BX25" i="14"/>
  <c r="BV25" i="14"/>
  <c r="BS25" i="14"/>
  <c r="BK25" i="14"/>
  <c r="BC25" i="14"/>
  <c r="BB25" i="14"/>
  <c r="AZ25" i="14"/>
  <c r="AY25" i="14"/>
  <c r="AW25" i="14"/>
  <c r="AV25" i="14"/>
  <c r="AT25" i="14"/>
  <c r="AS25" i="14"/>
  <c r="AQ25" i="14"/>
  <c r="AP25" i="14"/>
  <c r="AN25" i="14"/>
  <c r="AM25" i="14"/>
  <c r="AE25" i="14"/>
  <c r="AF25" i="14"/>
  <c r="CD23" i="14"/>
  <c r="CB23" i="14"/>
  <c r="BZ23" i="14"/>
  <c r="BX23" i="14"/>
  <c r="BV23" i="14"/>
  <c r="BS23" i="14"/>
  <c r="BK23" i="14"/>
  <c r="BA23" i="14"/>
  <c r="BC23" i="14"/>
  <c r="BB23" i="14"/>
  <c r="AZ23" i="14"/>
  <c r="AY23" i="14"/>
  <c r="AW23" i="14"/>
  <c r="AV23" i="14"/>
  <c r="AT23" i="14"/>
  <c r="AS23" i="14"/>
  <c r="AQ23" i="14"/>
  <c r="AP23" i="14"/>
  <c r="AN23" i="14"/>
  <c r="AM23" i="14"/>
  <c r="AE23" i="14"/>
  <c r="AF23" i="14"/>
  <c r="U23" i="14"/>
  <c r="CD22" i="14"/>
  <c r="CB22" i="14"/>
  <c r="BZ22" i="14"/>
  <c r="BX22" i="14"/>
  <c r="BV22" i="14"/>
  <c r="BS22" i="14"/>
  <c r="BK22" i="14"/>
  <c r="BA22" i="14"/>
  <c r="BC22" i="14"/>
  <c r="BB22" i="14"/>
  <c r="AZ22" i="14"/>
  <c r="AY22" i="14"/>
  <c r="AW22" i="14"/>
  <c r="AV22" i="14"/>
  <c r="AT22" i="14"/>
  <c r="AS22" i="14"/>
  <c r="AQ22" i="14"/>
  <c r="AP22" i="14"/>
  <c r="AN22" i="14"/>
  <c r="AM22" i="14"/>
  <c r="AE22" i="14"/>
  <c r="AF22" i="14"/>
  <c r="CD21" i="14"/>
  <c r="CB21" i="14"/>
  <c r="BZ21" i="14"/>
  <c r="BX21" i="14"/>
  <c r="BV21" i="14"/>
  <c r="BS21" i="14"/>
  <c r="BK21" i="14"/>
  <c r="BC21" i="14"/>
  <c r="BB21" i="14"/>
  <c r="AZ21" i="14"/>
  <c r="AY21" i="14"/>
  <c r="AW21" i="14"/>
  <c r="AV21" i="14"/>
  <c r="AR21" i="14"/>
  <c r="AT21" i="14"/>
  <c r="AS21" i="14"/>
  <c r="AQ21" i="14"/>
  <c r="AP21" i="14"/>
  <c r="AN21" i="14"/>
  <c r="AM21" i="14"/>
  <c r="AE21" i="14"/>
  <c r="AF21" i="14"/>
  <c r="CD20" i="14"/>
  <c r="CB20" i="14"/>
  <c r="BZ20" i="14"/>
  <c r="BX20" i="14"/>
  <c r="BV20" i="14"/>
  <c r="BS20" i="14"/>
  <c r="BK20" i="14"/>
  <c r="BA20" i="14"/>
  <c r="BC20" i="14"/>
  <c r="BB20" i="14"/>
  <c r="AZ20" i="14"/>
  <c r="AY20" i="14"/>
  <c r="AW20" i="14"/>
  <c r="AV20" i="14"/>
  <c r="AT20" i="14"/>
  <c r="AS20" i="14"/>
  <c r="AQ20" i="14"/>
  <c r="AP20" i="14"/>
  <c r="AN20" i="14"/>
  <c r="AM20" i="14"/>
  <c r="AE20" i="14"/>
  <c r="AF20" i="14"/>
  <c r="CD19" i="14"/>
  <c r="CB19" i="14"/>
  <c r="BZ19" i="14"/>
  <c r="BX19" i="14"/>
  <c r="BV19" i="14"/>
  <c r="BS19" i="14"/>
  <c r="BK19" i="14"/>
  <c r="BC19" i="14"/>
  <c r="BB19" i="14"/>
  <c r="AZ19" i="14"/>
  <c r="AY19" i="14"/>
  <c r="AW19" i="14"/>
  <c r="AV19" i="14"/>
  <c r="AT19" i="14"/>
  <c r="AS19" i="14"/>
  <c r="AQ19" i="14"/>
  <c r="AP19" i="14"/>
  <c r="AN19" i="14"/>
  <c r="AM19" i="14"/>
  <c r="AD19" i="14"/>
  <c r="AE19" i="14"/>
  <c r="AF19" i="14"/>
  <c r="CD18" i="14"/>
  <c r="CB18" i="14"/>
  <c r="BZ18" i="14"/>
  <c r="BX18" i="14"/>
  <c r="BV18" i="14"/>
  <c r="BS18" i="14"/>
  <c r="BK18" i="14"/>
  <c r="BC18" i="14"/>
  <c r="BB18" i="14"/>
  <c r="AZ18" i="14"/>
  <c r="AY18" i="14"/>
  <c r="AW18" i="14"/>
  <c r="AV18" i="14"/>
  <c r="AT18" i="14"/>
  <c r="AS18" i="14"/>
  <c r="AQ18" i="14"/>
  <c r="AP18" i="14"/>
  <c r="AN18" i="14"/>
  <c r="AM18" i="14"/>
  <c r="AD18" i="14"/>
  <c r="AE18" i="14"/>
  <c r="AF18" i="14"/>
  <c r="CD17" i="14"/>
  <c r="CB17" i="14"/>
  <c r="BZ17" i="14"/>
  <c r="BX17" i="14"/>
  <c r="BV17" i="14"/>
  <c r="BS17" i="14"/>
  <c r="BK17" i="14"/>
  <c r="BC17" i="14"/>
  <c r="BB17" i="14"/>
  <c r="AZ17" i="14"/>
  <c r="AY17" i="14"/>
  <c r="AW17" i="14"/>
  <c r="AV17" i="14"/>
  <c r="AT17" i="14"/>
  <c r="AS17" i="14"/>
  <c r="AQ17" i="14"/>
  <c r="AP17" i="14"/>
  <c r="AN17" i="14"/>
  <c r="AM17" i="14"/>
  <c r="AE17" i="14"/>
  <c r="AF17" i="14"/>
  <c r="CD15" i="14"/>
  <c r="CB15" i="14"/>
  <c r="BZ15" i="14"/>
  <c r="BX15" i="14"/>
  <c r="BV15" i="14"/>
  <c r="BS15" i="14"/>
  <c r="BK15" i="14"/>
  <c r="BC15" i="14"/>
  <c r="BB15" i="14"/>
  <c r="AZ15" i="14"/>
  <c r="AY15" i="14"/>
  <c r="AW15" i="14"/>
  <c r="AV15" i="14"/>
  <c r="AR15" i="14"/>
  <c r="AT15" i="14"/>
  <c r="AS15" i="14"/>
  <c r="AQ15" i="14"/>
  <c r="AP15" i="14"/>
  <c r="AN15" i="14"/>
  <c r="AM15" i="14"/>
  <c r="AE15" i="14"/>
  <c r="AF15" i="14"/>
  <c r="AA15" i="14"/>
  <c r="CD11" i="14"/>
  <c r="CB11" i="14"/>
  <c r="BZ11" i="14"/>
  <c r="BX11" i="14"/>
  <c r="BV11" i="14"/>
  <c r="BS11" i="14"/>
  <c r="BK11" i="14"/>
  <c r="BC11" i="14"/>
  <c r="BB11" i="14"/>
  <c r="AZ11" i="14"/>
  <c r="AY11" i="14"/>
  <c r="AW11" i="14"/>
  <c r="AV11" i="14"/>
  <c r="AT11" i="14"/>
  <c r="AS11" i="14"/>
  <c r="AQ11" i="14"/>
  <c r="AP11" i="14"/>
  <c r="AN11" i="14"/>
  <c r="AM11" i="14"/>
  <c r="AE11" i="14"/>
  <c r="AF11" i="14"/>
  <c r="CD10" i="14"/>
  <c r="CB10" i="14"/>
  <c r="BZ10" i="14"/>
  <c r="BX10" i="14"/>
  <c r="BV10" i="14"/>
  <c r="BS10" i="14"/>
  <c r="BK10" i="14"/>
  <c r="BC10" i="14"/>
  <c r="BB10" i="14"/>
  <c r="AZ10" i="14"/>
  <c r="AY10" i="14"/>
  <c r="AW10" i="14"/>
  <c r="AV10" i="14"/>
  <c r="AT10" i="14"/>
  <c r="AS10" i="14"/>
  <c r="AQ10" i="14"/>
  <c r="AP10" i="14"/>
  <c r="AN10" i="14"/>
  <c r="AM10" i="14"/>
  <c r="AD10" i="14"/>
  <c r="AE10" i="14"/>
  <c r="AF10" i="14"/>
  <c r="CD9" i="14"/>
  <c r="CB9" i="14"/>
  <c r="BZ9" i="14"/>
  <c r="BX9" i="14"/>
  <c r="BV9" i="14"/>
  <c r="BS9" i="14"/>
  <c r="BK9" i="14"/>
  <c r="BC9" i="14"/>
  <c r="BB9" i="14"/>
  <c r="AZ9" i="14"/>
  <c r="AY9" i="14"/>
  <c r="AW9" i="14"/>
  <c r="AV9" i="14"/>
  <c r="AT9" i="14"/>
  <c r="AS9" i="14"/>
  <c r="AQ9" i="14"/>
  <c r="AP9" i="14"/>
  <c r="AN9" i="14"/>
  <c r="AM9" i="14"/>
  <c r="AE9" i="14"/>
  <c r="AF9" i="14"/>
  <c r="CD8" i="14"/>
  <c r="CB8" i="14"/>
  <c r="BZ8" i="14"/>
  <c r="BX8" i="14"/>
  <c r="BV8" i="14"/>
  <c r="BS8" i="14"/>
  <c r="BK8" i="14"/>
  <c r="BC8" i="14"/>
  <c r="BB8" i="14"/>
  <c r="AZ8" i="14"/>
  <c r="AY8" i="14"/>
  <c r="AW8" i="14"/>
  <c r="AV8" i="14"/>
  <c r="AT8" i="14"/>
  <c r="AS8" i="14"/>
  <c r="AQ8" i="14"/>
  <c r="AP8" i="14"/>
  <c r="AN8" i="14"/>
  <c r="AM8" i="14"/>
  <c r="AE8" i="14"/>
  <c r="AF8" i="14"/>
  <c r="CD6" i="14"/>
  <c r="CB6" i="14"/>
  <c r="BY6" i="14"/>
  <c r="BZ6" i="14"/>
  <c r="BX6" i="14"/>
  <c r="BV6" i="14"/>
  <c r="BS6" i="14"/>
  <c r="BK6" i="14"/>
  <c r="BC6" i="14"/>
  <c r="BB6" i="14"/>
  <c r="AZ6" i="14"/>
  <c r="AY6" i="14"/>
  <c r="AW6" i="14"/>
  <c r="AV6" i="14"/>
  <c r="AR6" i="14"/>
  <c r="AT6" i="14"/>
  <c r="AS6" i="14"/>
  <c r="AQ6" i="14"/>
  <c r="AP6" i="14"/>
  <c r="AN6" i="14"/>
  <c r="AM6" i="14"/>
  <c r="AE6" i="14"/>
  <c r="AF6" i="14"/>
  <c r="AA6" i="14"/>
  <c r="CD5" i="14"/>
  <c r="CB5" i="14"/>
  <c r="BZ5" i="14"/>
  <c r="BX5" i="14"/>
  <c r="BV5" i="14"/>
  <c r="BS5" i="14"/>
  <c r="BK5" i="14"/>
  <c r="BC5" i="14"/>
  <c r="BB5" i="14"/>
  <c r="AZ5" i="14"/>
  <c r="AY5" i="14"/>
  <c r="AW5" i="14"/>
  <c r="AV5" i="14"/>
  <c r="AT5" i="14"/>
  <c r="AS5" i="14"/>
  <c r="AQ5" i="14"/>
  <c r="AP5" i="14"/>
  <c r="AN5" i="14"/>
  <c r="AM5" i="14"/>
  <c r="AD5" i="14"/>
  <c r="AE5" i="14"/>
  <c r="AF5" i="14"/>
  <c r="CD3" i="14"/>
  <c r="CB3" i="14"/>
  <c r="BZ3" i="14"/>
  <c r="BX3" i="14"/>
  <c r="BV3" i="14"/>
  <c r="BS3" i="14"/>
  <c r="BK3" i="14"/>
  <c r="BC3" i="14"/>
  <c r="BB3" i="14"/>
  <c r="AZ3" i="14"/>
  <c r="AY3" i="14"/>
  <c r="AW3" i="14"/>
  <c r="AV3" i="14"/>
  <c r="AT3" i="14"/>
  <c r="AS3" i="14"/>
  <c r="AQ3" i="14"/>
  <c r="AP3" i="14"/>
  <c r="AN3" i="14"/>
  <c r="AM3" i="14"/>
  <c r="AD3" i="14"/>
  <c r="AE3" i="14"/>
  <c r="AF3" i="14"/>
  <c r="CD2" i="14"/>
  <c r="CB2" i="14"/>
  <c r="BZ2" i="14"/>
  <c r="BX2" i="14"/>
  <c r="BV2" i="14"/>
  <c r="BS2" i="14"/>
  <c r="BK2" i="14"/>
  <c r="BC2" i="14"/>
  <c r="BB2" i="14"/>
  <c r="AZ2" i="14"/>
  <c r="AY2" i="14"/>
  <c r="AW2" i="14"/>
  <c r="AV2" i="14"/>
  <c r="AT2" i="14"/>
  <c r="AS2" i="14"/>
  <c r="AQ2" i="14"/>
  <c r="AP2" i="14"/>
  <c r="AN2" i="14"/>
  <c r="AM2" i="14"/>
  <c r="AE2" i="14"/>
  <c r="AF2" i="14"/>
</calcChain>
</file>

<file path=xl/comments1.xml><?xml version="1.0" encoding="utf-8"?>
<comments xmlns="http://schemas.openxmlformats.org/spreadsheetml/2006/main">
  <authors>
    <author>Nathan Hill</author>
  </authors>
  <commentList>
    <comment ref="G93" authorId="0">
      <text>
        <r>
          <rPr>
            <b/>
            <sz val="9"/>
            <color indexed="81"/>
            <rFont val="Calibri"/>
            <family val="2"/>
          </rPr>
          <t>Nathan Hill:</t>
        </r>
        <r>
          <rPr>
            <sz val="9"/>
            <color indexed="81"/>
            <rFont val="Calibri"/>
            <family val="2"/>
          </rPr>
          <t xml:space="preserve">
One thousand subjects were selected
by means of a proportionate stratification, according to
age and gender at the time of the screening. This sample
was representative of the 3200 screened subjects
because each category was adequately represented
selecting a sample from each stratum separately and
considering sample size proportional to the relative size
of the strata.</t>
        </r>
      </text>
    </comment>
  </commentList>
</comments>
</file>

<file path=xl/sharedStrings.xml><?xml version="1.0" encoding="utf-8"?>
<sst xmlns="http://schemas.openxmlformats.org/spreadsheetml/2006/main" count="1500" uniqueCount="723">
  <si>
    <t>Age</t>
  </si>
  <si>
    <t>Weight (kg)</t>
  </si>
  <si>
    <t>BMI</t>
  </si>
  <si>
    <t>SBP (mm Hg)</t>
  </si>
  <si>
    <t>DBP (mmHg)</t>
  </si>
  <si>
    <t>S Creatanine (umol/L)</t>
  </si>
  <si>
    <t>UID</t>
  </si>
  <si>
    <t>Author</t>
  </si>
  <si>
    <t>Year of Study</t>
  </si>
  <si>
    <t>Study Population</t>
  </si>
  <si>
    <t>No. of participants with data</t>
  </si>
  <si>
    <t>Setting?</t>
  </si>
  <si>
    <t>Gender (%F)</t>
  </si>
  <si>
    <t>Diabetes</t>
  </si>
  <si>
    <t>Diab Define</t>
  </si>
  <si>
    <t>Hypertension</t>
  </si>
  <si>
    <t>Hype Define</t>
  </si>
  <si>
    <t xml:space="preserve"> proteinuria</t>
  </si>
  <si>
    <t>Prot Define</t>
  </si>
  <si>
    <t>Obesity</t>
  </si>
  <si>
    <t>Obesity Define</t>
  </si>
  <si>
    <t>Smoking</t>
  </si>
  <si>
    <t>Smoking Define</t>
  </si>
  <si>
    <t>URBAN</t>
  </si>
  <si>
    <t>D &gt;=140 mmHG &amp; S &gt;= 90mmHg or on therpy</t>
  </si>
  <si>
    <t>CURRENT</t>
  </si>
  <si>
    <t>Arora, P.</t>
  </si>
  <si>
    <t>2007 to 2009</t>
  </si>
  <si>
    <t>Canada</t>
  </si>
  <si>
    <t>MIXED</t>
  </si>
  <si>
    <t>F &gt;=126 mg or HbA1c  &gt;6.5%</t>
  </si>
  <si>
    <t>diagnosis of “high blood pressure”</t>
  </si>
  <si>
    <t>ACR M &gt;2.0 mg/mmol &amp; F 2.8 mg/mmol</t>
  </si>
  <si>
    <t>EVER SMOKED</t>
  </si>
  <si>
    <t>China</t>
  </si>
  <si>
    <t>&gt;=7mmol and/or 75g OGTT &gt;=11.1</t>
  </si>
  <si>
    <t>D &gt;=140 mmHG &amp; S &gt;= 90mmHg or Hypertensive therapy</t>
  </si>
  <si>
    <t>2006 to 2007</t>
  </si>
  <si>
    <t>F &gt;=126g mg or prev diagnosis</t>
  </si>
  <si>
    <t>Micro ACR &gt;30 &amp; &lt;300 / Macro &gt;=300</t>
  </si>
  <si>
    <t>Gu, D-F.</t>
  </si>
  <si>
    <t>&gt;=126 mg or &gt;= 200mg NF</t>
  </si>
  <si>
    <t>prev diagnosis</t>
  </si>
  <si>
    <t>ACR &gt; 30</t>
  </si>
  <si>
    <t>Jiang, L.</t>
  </si>
  <si>
    <t>RURAL</t>
  </si>
  <si>
    <t>F &gt;7 mmol/l</t>
  </si>
  <si>
    <t>D &gt;=140 mmHG &amp; S &gt;= 90mmHg or self reported</t>
  </si>
  <si>
    <t>D &gt;=140 mmHG &amp; S &gt;= 90mmHg</t>
  </si>
  <si>
    <t>&gt;30 mg/dL</t>
  </si>
  <si>
    <t>2009 to 2010</t>
  </si>
  <si>
    <t>Mixed</t>
  </si>
  <si>
    <t>F &gt;7 mmol/l or an DM agents or self reported</t>
  </si>
  <si>
    <t>D &gt;=140 mmHG &amp; S &gt;= 90mmHg or self reported or medicated</t>
  </si>
  <si>
    <t>Mic F ACR 17 to 250 | Mic M 25 to 355</t>
  </si>
  <si>
    <t>Waist&gt; M&gt;90 F&gt;80</t>
  </si>
  <si>
    <t>Li, Z-Y.</t>
  </si>
  <si>
    <t>F &gt;7 mmol/l or NF &gt;11.1 mmol/l</t>
  </si>
  <si>
    <t>BMI &gt;= 25</t>
  </si>
  <si>
    <t>Liu, Q.</t>
  </si>
  <si>
    <t>D &gt;=140 mmHG &amp; S &gt;= 90mmHg or self reported OR MEDS</t>
  </si>
  <si>
    <t>Albuminuria</t>
  </si>
  <si>
    <t>Congo</t>
  </si>
  <si>
    <t>F &gt;126 mg/Dl</t>
  </si>
  <si>
    <t>BMI &gt;30</t>
  </si>
  <si>
    <t>+1 dipstick</t>
  </si>
  <si>
    <t>Singh, N.P.</t>
  </si>
  <si>
    <t>2005 to 2007</t>
  </si>
  <si>
    <t>India</t>
  </si>
  <si>
    <t>BMI &gt;25</t>
  </si>
  <si>
    <t>Barahimi, H.</t>
  </si>
  <si>
    <t>Iran</t>
  </si>
  <si>
    <t>Hosseinpanah, F.</t>
  </si>
  <si>
    <t>1997 to 2000</t>
  </si>
  <si>
    <t>Najafi, I.</t>
  </si>
  <si>
    <t>F &gt;=110 mg or self reported</t>
  </si>
  <si>
    <t>At least once a week for last 6 months</t>
  </si>
  <si>
    <t>Safinejad, M.R.</t>
  </si>
  <si>
    <t>2002 to 2005</t>
  </si>
  <si>
    <t>&gt;= 200mg NF</t>
  </si>
  <si>
    <t>&gt;=30</t>
  </si>
  <si>
    <t>Imai, E.</t>
  </si>
  <si>
    <t>2000 to 2004</t>
  </si>
  <si>
    <t>Japan</t>
  </si>
  <si>
    <t>HbA1x &gt;6%</t>
  </si>
  <si>
    <t>Nagata, M.</t>
  </si>
  <si>
    <t>F &gt; 126 mg/Dl</t>
  </si>
  <si>
    <t>Mongolia</t>
  </si>
  <si>
    <t>2003 to 2005</t>
  </si>
  <si>
    <t>Nepal</t>
  </si>
  <si>
    <t>Hallan, S.I</t>
  </si>
  <si>
    <t>1995 to 2004</t>
  </si>
  <si>
    <t>Norway</t>
  </si>
  <si>
    <t>2004 to 2005</t>
  </si>
  <si>
    <t>Poland</t>
  </si>
  <si>
    <t>albuminuria</t>
  </si>
  <si>
    <t>Vinhas, J.</t>
  </si>
  <si>
    <t>2008 to 2009</t>
  </si>
  <si>
    <t>Portugal</t>
  </si>
  <si>
    <t>Cepoi, V.</t>
  </si>
  <si>
    <t>2007 to 2008</t>
  </si>
  <si>
    <t>Romania</t>
  </si>
  <si>
    <t>&gt;100  EVER</t>
  </si>
  <si>
    <t>Matsha, T.E.</t>
  </si>
  <si>
    <t>2008 to 2011</t>
  </si>
  <si>
    <t>South Africa</t>
  </si>
  <si>
    <t>South Korea</t>
  </si>
  <si>
    <t>Kim, S.</t>
  </si>
  <si>
    <t>de Francisco, A.L.M.</t>
  </si>
  <si>
    <t>Spain</t>
  </si>
  <si>
    <t>&gt;1 in last month</t>
  </si>
  <si>
    <t>2004 to 2008</t>
  </si>
  <si>
    <t>Nitsch, D.</t>
  </si>
  <si>
    <t>2002 to 2003</t>
  </si>
  <si>
    <t>Perkovic, V</t>
  </si>
  <si>
    <t>Taiwan</t>
  </si>
  <si>
    <t>&gt;126mg/100ml</t>
  </si>
  <si>
    <t>Wen, C.P.</t>
  </si>
  <si>
    <t>1994 to 2006</t>
  </si>
  <si>
    <t>&gt;= 7mmol</t>
  </si>
  <si>
    <t>&gt;30 BMI</t>
  </si>
  <si>
    <t>Ong-Ajyooth, L.</t>
  </si>
  <si>
    <t>Current and &gt;100 ever</t>
  </si>
  <si>
    <t>Tibet</t>
  </si>
  <si>
    <t>D &gt;=140 mmHG &amp; S &gt;= 90mmHg or Hypert ensive therapy or Recorded or Self reported</t>
  </si>
  <si>
    <t>BMI &gt;28, and central obesity was
defined as a waist measurement &gt;90 cm for men or &gt;80 cm for women</t>
  </si>
  <si>
    <t>Sahin, I.</t>
  </si>
  <si>
    <t>Turkey</t>
  </si>
  <si>
    <t>Suleymanalar, G.</t>
  </si>
  <si>
    <t>2006 to 2009</t>
  </si>
  <si>
    <t>F &gt;=126 mg</t>
  </si>
  <si>
    <t>D &gt;=140 mmHG &amp; S &gt;= 90mmHg or Hypertensive therapy or Recorded</t>
  </si>
  <si>
    <t>1999 to 2004</t>
  </si>
  <si>
    <t>USA</t>
  </si>
  <si>
    <t>defined by physician</t>
  </si>
  <si>
    <t>ACR</t>
  </si>
  <si>
    <t>BMI &gt; 30</t>
  </si>
  <si>
    <t>&gt;100 EVER</t>
  </si>
  <si>
    <t>Crews, D.C.</t>
  </si>
  <si>
    <t>Creat Double measure?</t>
  </si>
  <si>
    <t>Creat Method DESCRIBED</t>
  </si>
  <si>
    <t>Creat Calibrated?</t>
  </si>
  <si>
    <t xml:space="preserve"> Creat Traceable?</t>
  </si>
  <si>
    <t>PStage 1</t>
  </si>
  <si>
    <t>PStage 2</t>
  </si>
  <si>
    <t>PStage 3</t>
  </si>
  <si>
    <t>PStage 4</t>
  </si>
  <si>
    <t>PStage 5</t>
  </si>
  <si>
    <t>POverall</t>
  </si>
  <si>
    <t>PSE</t>
  </si>
  <si>
    <t>MStage 1</t>
  </si>
  <si>
    <t>MStage 2</t>
  </si>
  <si>
    <t>MStage 3</t>
  </si>
  <si>
    <t>MStage 4</t>
  </si>
  <si>
    <t>MStage 5</t>
  </si>
  <si>
    <t>MOverall</t>
  </si>
  <si>
    <t>FStage 1</t>
  </si>
  <si>
    <t>FStage 2</t>
  </si>
  <si>
    <t>FStage 3</t>
  </si>
  <si>
    <t>FStage 4</t>
  </si>
  <si>
    <t>FStage 5</t>
  </si>
  <si>
    <t>FOverall</t>
  </si>
  <si>
    <t>Quality STROBE (/28)</t>
  </si>
  <si>
    <t>STROBE_PERC</t>
  </si>
  <si>
    <t>PSE1</t>
  </si>
  <si>
    <t>PSE2</t>
  </si>
  <si>
    <t>PSE3</t>
  </si>
  <si>
    <t>PSE4</t>
  </si>
  <si>
    <t>PSE5</t>
  </si>
  <si>
    <t>MSE</t>
  </si>
  <si>
    <t>FSE</t>
  </si>
  <si>
    <t>Seck, S.M.</t>
  </si>
  <si>
    <t>Pani, A</t>
  </si>
  <si>
    <t>Lin, B</t>
  </si>
  <si>
    <t>Khajehdehi, P</t>
  </si>
  <si>
    <t>Anupama, Y.J.</t>
  </si>
  <si>
    <t>Senegal</t>
  </si>
  <si>
    <t>Italy</t>
  </si>
  <si>
    <t>2009 to 2012</t>
  </si>
  <si>
    <t>2011 to 2012</t>
  </si>
  <si>
    <t>Albuminuria &gt; 1g/L</t>
  </si>
  <si>
    <t>Tobacco Use</t>
  </si>
  <si>
    <t>Micro Prot &gt;30 &amp; &lt;300 / Macro &gt;=300</t>
  </si>
  <si>
    <t>Micro ACR &gt;30 &amp; &lt;300 / Macro 300</t>
  </si>
  <si>
    <t>D&gt;=130 &amp; S &gt;=80</t>
  </si>
  <si>
    <t>F &gt; 126 mg/dL</t>
  </si>
  <si>
    <t>Huang, W.H.</t>
  </si>
  <si>
    <t>Restricted Population?</t>
  </si>
  <si>
    <t>Lab Audit</t>
  </si>
  <si>
    <t>Exquation used</t>
  </si>
  <si>
    <t>MDRD</t>
  </si>
  <si>
    <t>Browne, G.M</t>
  </si>
  <si>
    <t>CKD-EPI</t>
  </si>
  <si>
    <t>Age &gt;45 taken from a health survey</t>
  </si>
  <si>
    <t>ACR &gt;30</t>
  </si>
  <si>
    <t>Hba1c &gt;6.5% or DM med/diagnosis</t>
  </si>
  <si>
    <t>Irish</t>
  </si>
  <si>
    <t>Carlos, Z.S</t>
  </si>
  <si>
    <t>Cea-Calvo, L</t>
  </si>
  <si>
    <t>Chen, J.</t>
  </si>
  <si>
    <t>Age 35 to 74 years</t>
  </si>
  <si>
    <t>2000 to 2001</t>
  </si>
  <si>
    <t>F&gt;7 mmol/l or Med usage or Diagnosis</t>
  </si>
  <si>
    <t>Chudek, J</t>
  </si>
  <si>
    <t>2007 to 2011</t>
  </si>
  <si>
    <t>F&gt;126 mg/dl or Med usage or Diagnosis</t>
  </si>
  <si>
    <t>Aged 65+</t>
  </si>
  <si>
    <t>UK</t>
  </si>
  <si>
    <t>Denburg, M.R</t>
  </si>
  <si>
    <t>Read codes of  CKD cross sectional research ok lab data</t>
  </si>
  <si>
    <t>Elorza-Ricard, J.M.</t>
  </si>
  <si>
    <t>Fleet Jamie, L</t>
  </si>
  <si>
    <t>2007 to 2010</t>
  </si>
  <si>
    <t>Age &gt;65 taken from a hospital encouter and physician claims database. Based on Read Codes</t>
  </si>
  <si>
    <t>DM Meds in past 6 months</t>
  </si>
  <si>
    <t>Age &gt;30</t>
  </si>
  <si>
    <t>10/2007 to 11/2008</t>
  </si>
  <si>
    <t>Asian &gt;27.5</t>
  </si>
  <si>
    <t>S &gt;=140 mmHG &amp; D &gt;= 90mmHg or Hypertensive therapy</t>
  </si>
  <si>
    <t>S &gt;=140 mmHG &amp; D &gt;= 90mmHg or Hypertensive therapy or self reported</t>
  </si>
  <si>
    <t>ACR &lt;30 mg/g is normal</t>
  </si>
  <si>
    <t>Gambaro, G</t>
  </si>
  <si>
    <t>&gt;40 and chosen from GP lists</t>
  </si>
  <si>
    <t>01/2006</t>
  </si>
  <si>
    <t>ACR &lt;3.4 mg/mmol  is normal</t>
  </si>
  <si>
    <t>F &gt;7 mmol/l  or Diagnosis</t>
  </si>
  <si>
    <t>Australia</t>
  </si>
  <si>
    <t>Aboriginal population. Lab Audit</t>
  </si>
  <si>
    <t>Non Aboriginal Population. Lab Audit</t>
  </si>
  <si>
    <t>07/2003 to 06/2004</t>
  </si>
  <si>
    <t>Giavarina, D.</t>
  </si>
  <si>
    <t>05/2009 to 10/2009</t>
  </si>
  <si>
    <t>18 to 75 outpatient and inpatients (tertiary care)</t>
  </si>
  <si>
    <t>Lab audit</t>
  </si>
  <si>
    <t>Glynn, L.G</t>
  </si>
  <si>
    <t>&gt;50 from 3 GP practice records</t>
  </si>
  <si>
    <t>Go, A.S</t>
  </si>
  <si>
    <t>1996 to 2000</t>
  </si>
  <si>
    <t>IRISH</t>
  </si>
  <si>
    <t>LAB AUDIT OF SAN FRANSISCO</t>
  </si>
  <si>
    <t>Hemmelgarn, BR</t>
  </si>
  <si>
    <t>&gt;65 years lab audit</t>
  </si>
  <si>
    <t>07/2001 to 07/2003</t>
  </si>
  <si>
    <t>drug data</t>
  </si>
  <si>
    <t>Hooi, L S</t>
  </si>
  <si>
    <t>04/2011 to 07/2011</t>
  </si>
  <si>
    <t>West Malasia</t>
  </si>
  <si>
    <t>FPG &gt;6.1mmol/l or RPG &gt;11.1</t>
  </si>
  <si>
    <t>Hsu, C.</t>
  </si>
  <si>
    <t>limted to who responded to health survey  and only a sample of 15147 respondednts. Table says no diff! So ok?</t>
  </si>
  <si>
    <t>National Survey &gt;20years  but ok?</t>
  </si>
  <si>
    <t>FPG &gt; 7 or self reported or diagnosed</t>
  </si>
  <si>
    <t>Huda, M. N.</t>
  </si>
  <si>
    <t>Bangladesh</t>
  </si>
  <si>
    <t>07/2003 to 06/2005</t>
  </si>
  <si>
    <t>italy</t>
  </si>
  <si>
    <t>Restrcted Pop - Slum areas Dakar . 15y to 65 y</t>
  </si>
  <si>
    <t>RPG &gt; 11.1 mmol/l or Diagnosed</t>
  </si>
  <si>
    <t>Uripath 5 sticks</t>
  </si>
  <si>
    <t>Tobacco users</t>
  </si>
  <si>
    <t xml:space="preserve">&gt;40 years </t>
  </si>
  <si>
    <t>S &gt;=140 mmHG &amp; D &gt;= 90mmHg</t>
  </si>
  <si>
    <t>FPG &gt;126 mg/dl</t>
  </si>
  <si>
    <t>04/2005 to 03/2006</t>
  </si>
  <si>
    <t xml:space="preserve">Jessani, S </t>
  </si>
  <si>
    <t>&gt;40 years</t>
  </si>
  <si>
    <t>Pakistan</t>
  </si>
  <si>
    <t>FPG &gt;7 mmol/l or on DM Med</t>
  </si>
  <si>
    <t>&lt;3mg/mmol is normal</t>
  </si>
  <si>
    <t>Jose, M.D.</t>
  </si>
  <si>
    <t>Tasmania</t>
  </si>
  <si>
    <t>1995 to 2007</t>
  </si>
  <si>
    <t>&lt;3.5mg/mmol Woman or  &lt;2.5mg/mmol/l Men</t>
  </si>
  <si>
    <t>Finland</t>
  </si>
  <si>
    <t>25y to 74y</t>
  </si>
  <si>
    <t>SMOKER</t>
  </si>
  <si>
    <t>Self reported</t>
  </si>
  <si>
    <t>self reported</t>
  </si>
  <si>
    <t>08/2000 to 07/2002</t>
  </si>
  <si>
    <t>45y to 84y - excluded anyone with prev hist of CVD</t>
  </si>
  <si>
    <t>S &gt;=140 mmHG &amp; D &gt;= 90mmHg or diagnosis or self reported</t>
  </si>
  <si>
    <t>FPG &gt;126 mg/dl or diagnosis or self reported</t>
  </si>
  <si>
    <t>Liang, Y</t>
  </si>
  <si>
    <t>06/2010 to 09/2012</t>
  </si>
  <si>
    <t>S &gt;=140 mmHG &amp; D &gt;= 90mmHg or diagnosis</t>
  </si>
  <si>
    <t>FPG &gt; 7 mmol/l or on medication</t>
  </si>
  <si>
    <t>staff of instituations in henan lab audit</t>
  </si>
  <si>
    <t>Lou Arnal, L.M.</t>
  </si>
  <si>
    <t>Lu, C</t>
  </si>
  <si>
    <t>from a single city in china</t>
  </si>
  <si>
    <t>06/2007 to 01/2009</t>
  </si>
  <si>
    <t>FPG &gt; 7 mmol/l or &gt;11.1 RPG</t>
  </si>
  <si>
    <t>Maple-Brown, L.J</t>
  </si>
  <si>
    <t>09/2003 to 03/2005</t>
  </si>
  <si>
    <t>Indigineous Australians &gt;15y</t>
  </si>
  <si>
    <t>Minutolo, R</t>
  </si>
  <si>
    <t>Audit of GP lab results. Diagnosis by ICD CODE</t>
  </si>
  <si>
    <t>Nomura, I</t>
  </si>
  <si>
    <t>09/2006 to 10/2006</t>
  </si>
  <si>
    <t>&gt;40 years, excluded diabetes</t>
  </si>
  <si>
    <t>Nongpiur, M.E</t>
  </si>
  <si>
    <t>Singapore</t>
  </si>
  <si>
    <t>ACR&gt; 17mg/g MEN or &gt;25mg/g Woman</t>
  </si>
  <si>
    <t>40 to 79 years Malay adults</t>
  </si>
  <si>
    <t>NF &gt;11.1 mmol/l</t>
  </si>
  <si>
    <t>O'Callaghan</t>
  </si>
  <si>
    <t>10/2009 to 01/2011</t>
  </si>
  <si>
    <t>Oxfordshire lab audit but likely to be representative of UK pop</t>
  </si>
  <si>
    <t>Ohno, Y.</t>
  </si>
  <si>
    <t>Aged 40 to 74 only</t>
  </si>
  <si>
    <t>04/2001 to 03/2002</t>
  </si>
  <si>
    <t>Otero, A.</t>
  </si>
  <si>
    <t>Pena Porta, JJ.M.</t>
  </si>
  <si>
    <t>2005 to 2006</t>
  </si>
  <si>
    <t>38 to 50y Black only. Original cohort set up in 1985 this is 20y data</t>
  </si>
  <si>
    <t>28 to 50y White Only.Original cohort set up in 1985 this is 20y data</t>
  </si>
  <si>
    <t>Ponte, B</t>
  </si>
  <si>
    <t>2003 to 2006</t>
  </si>
  <si>
    <t>25y to 75y only</t>
  </si>
  <si>
    <t>FPG&gt; 7mmol/l</t>
  </si>
  <si>
    <t>Prodjosundjadi, W</t>
  </si>
  <si>
    <t>Indonesia</t>
  </si>
  <si>
    <t>18y to 70y and urban</t>
  </si>
  <si>
    <t>&gt;25</t>
  </si>
  <si>
    <t>Robles N.R.</t>
  </si>
  <si>
    <t>25y to 79y</t>
  </si>
  <si>
    <t>&gt;22mg/g Men or &gt;31 mg/g Woman</t>
  </si>
  <si>
    <t>Rothenbacher, D</t>
  </si>
  <si>
    <t>&gt;65 years</t>
  </si>
  <si>
    <t>German</t>
  </si>
  <si>
    <t>Sabanayagam, C</t>
  </si>
  <si>
    <t>24y to 95y</t>
  </si>
  <si>
    <t xml:space="preserve">Singapore </t>
  </si>
  <si>
    <t>Shan, Y.</t>
  </si>
  <si>
    <t>05/2007 to  03/2008</t>
  </si>
  <si>
    <t>&gt;40 years and lived there for 10 years</t>
  </si>
  <si>
    <t>FPG&gt; 7mmol/l or diagnosis</t>
  </si>
  <si>
    <t>Shin, S-Y</t>
  </si>
  <si>
    <t>&gt;25 BMI</t>
  </si>
  <si>
    <t>None?</t>
  </si>
  <si>
    <t>&gt;65 YEARS</t>
  </si>
  <si>
    <t>France</t>
  </si>
  <si>
    <t>1999 to 2001</t>
  </si>
  <si>
    <t>FPG&gt; 7mmol/l or diagnosis or NF &gt;11.1 mmol/l</t>
  </si>
  <si>
    <t xml:space="preserve">Stevens P.E. </t>
  </si>
  <si>
    <t>1998 to 2003</t>
  </si>
  <si>
    <t>CODED</t>
  </si>
  <si>
    <t>Tanaka, H</t>
  </si>
  <si>
    <t>05/2003 to 03/2004</t>
  </si>
  <si>
    <t>30 tp 74y only</t>
  </si>
  <si>
    <t>S &gt;=130 mmHG &amp; D &gt;= 85mmHg or diagnosis</t>
  </si>
  <si>
    <t xml:space="preserve">FPG&gt; 7.1mmol/l or diagnosis </t>
  </si>
  <si>
    <t>&gt;45y oversample blacks , so data split</t>
  </si>
  <si>
    <t>ACR&gt;30</t>
  </si>
  <si>
    <t>Tomonaga, Y.</t>
  </si>
  <si>
    <t>patients turning up at GP sugaries</t>
  </si>
  <si>
    <t>Netherlands</t>
  </si>
  <si>
    <t>Lab audit &gt;20y</t>
  </si>
  <si>
    <t>01/1996 to 03/2011</t>
  </si>
  <si>
    <t>3.5 mg/g woman &amp; 2.5 mg/mmol man</t>
  </si>
  <si>
    <t>&gt;50y primary care based morbidity registration network</t>
  </si>
  <si>
    <t>Belgium</t>
  </si>
  <si>
    <t>1994 to 2008</t>
  </si>
  <si>
    <t>White, S</t>
  </si>
  <si>
    <t>1999 to 2000</t>
  </si>
  <si>
    <t xml:space="preserve">&gt;25y </t>
  </si>
  <si>
    <t>FPG&gt; 7 mmol/l or diagnosis  RPG &gt;11.1 mmol/l</t>
  </si>
  <si>
    <t>Xu, G</t>
  </si>
  <si>
    <t>&gt;40 years urban</t>
  </si>
  <si>
    <t>ACR &gt; 30 mg/g</t>
  </si>
  <si>
    <t>08/2009 to 08/2010</t>
  </si>
  <si>
    <t>Lab Audit 20 to 70y</t>
  </si>
  <si>
    <t>01/2009 to 06/2010</t>
  </si>
  <si>
    <t>Chile</t>
  </si>
  <si>
    <t>&gt;60 y only</t>
  </si>
  <si>
    <t xml:space="preserve">Anesi, A </t>
  </si>
  <si>
    <t>07/2005 to 12/2005</t>
  </si>
  <si>
    <t>Covic, A</t>
  </si>
  <si>
    <t>Romainia</t>
  </si>
  <si>
    <t>07/2008 to 06/2010</t>
  </si>
  <si>
    <t>Lab audit &gt;20y Urban mainly</t>
  </si>
  <si>
    <t>read codes</t>
  </si>
  <si>
    <t>collation of 4 studies</t>
  </si>
  <si>
    <t>01/2008 to  06/2011</t>
  </si>
  <si>
    <t>Chinese DM prevention guidelines</t>
  </si>
  <si>
    <t>Chinese HTN  prevention guidelines</t>
  </si>
  <si>
    <t>audit of hospital atendees. Urban</t>
  </si>
  <si>
    <t>no?</t>
  </si>
  <si>
    <t>&gt;40y only</t>
  </si>
  <si>
    <t>none?</t>
  </si>
  <si>
    <t>&gt;35y only</t>
  </si>
  <si>
    <t>CKD only measured in 1000 of 3218 pats but data are for the whole group</t>
  </si>
  <si>
    <t>none? Dooor to door screening</t>
  </si>
  <si>
    <t>none? Taken from national survey</t>
  </si>
  <si>
    <t>&gt;30y</t>
  </si>
  <si>
    <t>none? Taken from screening programme</t>
  </si>
  <si>
    <t>all from 1 city (shanghai)</t>
  </si>
  <si>
    <t>all from 1 city (Guangzhou)</t>
  </si>
  <si>
    <t>High altitude population</t>
  </si>
  <si>
    <t>selected for low SES and high diversity</t>
  </si>
  <si>
    <t>all from 1 city (Zhuhai)</t>
  </si>
  <si>
    <t>all from 1 city (Tehran)</t>
  </si>
  <si>
    <t>all from 1 city (Yuzhong)</t>
  </si>
  <si>
    <t>&gt;50 and all rural</t>
  </si>
  <si>
    <t>&gt;35y urban only</t>
  </si>
  <si>
    <t>&gt;40y single city (beijing)</t>
  </si>
  <si>
    <t>none? But rural only</t>
  </si>
  <si>
    <t>urban single city (township in Capre town)</t>
  </si>
  <si>
    <t>men 50 to 79 , woman 55 to 79 single city (Kalaleh)</t>
  </si>
  <si>
    <t>none &gt;14y</t>
  </si>
  <si>
    <t>20 to 79y</t>
  </si>
  <si>
    <t xml:space="preserve">none? </t>
  </si>
  <si>
    <t>OXSR01</t>
  </si>
  <si>
    <t>OXSR02</t>
  </si>
  <si>
    <t>OXSR03</t>
  </si>
  <si>
    <t>OXSR04</t>
  </si>
  <si>
    <t>OXSR05</t>
  </si>
  <si>
    <t>OXSR06</t>
  </si>
  <si>
    <t>OXSR07</t>
  </si>
  <si>
    <t>OXSR08</t>
  </si>
  <si>
    <t>OXSR09</t>
  </si>
  <si>
    <t>OXSR10</t>
  </si>
  <si>
    <t>OXSR11</t>
  </si>
  <si>
    <t>OXSR12</t>
  </si>
  <si>
    <t>OXSR13</t>
  </si>
  <si>
    <t>OXSR14</t>
  </si>
  <si>
    <t>OXSR15</t>
  </si>
  <si>
    <t>OXSR16</t>
  </si>
  <si>
    <t>OXSR17</t>
  </si>
  <si>
    <t>OXSR18</t>
  </si>
  <si>
    <t>OXSR19</t>
  </si>
  <si>
    <t>OXSR20</t>
  </si>
  <si>
    <t>OXSR21</t>
  </si>
  <si>
    <t>OXSR22</t>
  </si>
  <si>
    <t>OXSR23</t>
  </si>
  <si>
    <t>OXSR24</t>
  </si>
  <si>
    <t>OXSR25</t>
  </si>
  <si>
    <t>OXSR26</t>
  </si>
  <si>
    <t>OXSR27</t>
  </si>
  <si>
    <t>OXSR28</t>
  </si>
  <si>
    <t>OXSR29</t>
  </si>
  <si>
    <t>OXSR30</t>
  </si>
  <si>
    <t>OXSR31</t>
  </si>
  <si>
    <t>OXSR32</t>
  </si>
  <si>
    <t>OXSR33</t>
  </si>
  <si>
    <t>OXSR34</t>
  </si>
  <si>
    <t>OXSR35</t>
  </si>
  <si>
    <t>OXSR36</t>
  </si>
  <si>
    <t>OXSR37</t>
  </si>
  <si>
    <t>OXSR38</t>
  </si>
  <si>
    <t>OXSR39</t>
  </si>
  <si>
    <t>OXSR40</t>
  </si>
  <si>
    <t>OXSR41</t>
  </si>
  <si>
    <t>OXSR42</t>
  </si>
  <si>
    <t>OXSR43</t>
  </si>
  <si>
    <t>OXSR45</t>
  </si>
  <si>
    <t>OXSR46</t>
  </si>
  <si>
    <t>OXSR47</t>
  </si>
  <si>
    <t>OXSR49</t>
  </si>
  <si>
    <t>OXSR50</t>
  </si>
  <si>
    <t>OXSR51</t>
  </si>
  <si>
    <t>OXSR52</t>
  </si>
  <si>
    <t>OXSR53</t>
  </si>
  <si>
    <t>OXSR54</t>
  </si>
  <si>
    <t>OXSR55</t>
  </si>
  <si>
    <t>OXSR56</t>
  </si>
  <si>
    <t>OXSR57</t>
  </si>
  <si>
    <t>OXSR59</t>
  </si>
  <si>
    <t>OXSR60</t>
  </si>
  <si>
    <t>OXSR61</t>
  </si>
  <si>
    <t>OXSR62</t>
  </si>
  <si>
    <t>OXSR63</t>
  </si>
  <si>
    <t>OXSR64</t>
  </si>
  <si>
    <t>OXSR65</t>
  </si>
  <si>
    <t>OXSR66</t>
  </si>
  <si>
    <t>OXSR67</t>
  </si>
  <si>
    <t>OXSR68</t>
  </si>
  <si>
    <t>OXSR69</t>
  </si>
  <si>
    <t>OXSR70</t>
  </si>
  <si>
    <t>OXSR71</t>
  </si>
  <si>
    <t>OXSR72</t>
  </si>
  <si>
    <t>OXSR73</t>
  </si>
  <si>
    <t>OXSR74</t>
  </si>
  <si>
    <t>OXSR75</t>
  </si>
  <si>
    <t>OXSR76</t>
  </si>
  <si>
    <t>OXSR77</t>
  </si>
  <si>
    <t>OXSR79</t>
  </si>
  <si>
    <t>OXSR80</t>
  </si>
  <si>
    <t>OXSR81</t>
  </si>
  <si>
    <t>OXSR82</t>
  </si>
  <si>
    <t>OXSR84</t>
  </si>
  <si>
    <t>OXSR86</t>
  </si>
  <si>
    <t>OXSR87</t>
  </si>
  <si>
    <t>OXSR88</t>
  </si>
  <si>
    <t>OXSR90</t>
  </si>
  <si>
    <t>OXSR91</t>
  </si>
  <si>
    <t>OXSR92</t>
  </si>
  <si>
    <t>OXSR93</t>
  </si>
  <si>
    <t>OXSR95</t>
  </si>
  <si>
    <t>OXSR96</t>
  </si>
  <si>
    <t>OXSR97</t>
  </si>
  <si>
    <t>OXSR98</t>
  </si>
  <si>
    <t>OXSR99</t>
  </si>
  <si>
    <t>OXSR100</t>
  </si>
  <si>
    <t>OXSR101</t>
  </si>
  <si>
    <t>OXSR102</t>
  </si>
  <si>
    <t>OXSR103</t>
  </si>
  <si>
    <t>OXSR104</t>
  </si>
  <si>
    <t>OXSR106</t>
  </si>
  <si>
    <t>OXSR107</t>
  </si>
  <si>
    <t>OXSR108</t>
  </si>
  <si>
    <t>OXSR109</t>
  </si>
  <si>
    <t>OXSR110</t>
  </si>
  <si>
    <t>OXSR111</t>
  </si>
  <si>
    <t>OXSR112</t>
  </si>
  <si>
    <t>OXSR113</t>
  </si>
  <si>
    <t>OXSR114</t>
  </si>
  <si>
    <t>OXSR115</t>
  </si>
  <si>
    <t>OXSR117</t>
  </si>
  <si>
    <t>OXSR119</t>
  </si>
  <si>
    <t>OXSR120</t>
  </si>
  <si>
    <t>OXSR121</t>
  </si>
  <si>
    <t>GENERAL</t>
  </si>
  <si>
    <t xml:space="preserve">AGE </t>
  </si>
  <si>
    <t>SINGLE SITE - URBAN</t>
  </si>
  <si>
    <t>HIGH ALTITUDE</t>
  </si>
  <si>
    <t>SINGLE SITE - RURAL</t>
  </si>
  <si>
    <t>AGE</t>
  </si>
  <si>
    <t>ETHNIC GROUP</t>
  </si>
  <si>
    <t>LOW SES</t>
  </si>
  <si>
    <t>HIGH DIVERSITY</t>
  </si>
  <si>
    <t>LAB AUDIT</t>
  </si>
  <si>
    <t>HOSPITAL POP</t>
  </si>
  <si>
    <t>NO DIABETES</t>
  </si>
  <si>
    <t>09/2000 to 03/2004</t>
  </si>
  <si>
    <t>African American  Only. Age 35 to 84y</t>
  </si>
  <si>
    <t>&gt;10 cigs a day</t>
  </si>
  <si>
    <t>OXSR122</t>
  </si>
  <si>
    <t>Ryan, T..P</t>
  </si>
  <si>
    <t>lab audit</t>
  </si>
  <si>
    <t>01/2003 to 05/2005</t>
  </si>
  <si>
    <t xml:space="preserve">Zhang, Q-L. </t>
  </si>
  <si>
    <t>Aged 50 to 74</t>
  </si>
  <si>
    <t>Self Reported</t>
  </si>
  <si>
    <t>TWO_PStage 1</t>
  </si>
  <si>
    <t>TWO_PSE1</t>
  </si>
  <si>
    <t>TWO_PStage 2</t>
  </si>
  <si>
    <t>TWO_PSE2</t>
  </si>
  <si>
    <t>TWO_PStage 3</t>
  </si>
  <si>
    <t>TWO_PSE3</t>
  </si>
  <si>
    <t>TWO_PStage 4</t>
  </si>
  <si>
    <t>TWO_PSE4</t>
  </si>
  <si>
    <t>TWO_PStage 5</t>
  </si>
  <si>
    <t>TWO_PSE5</t>
  </si>
  <si>
    <t>TWO_POverall</t>
  </si>
  <si>
    <t>Three</t>
  </si>
  <si>
    <t>Five</t>
  </si>
  <si>
    <t>is_it_ThreeorFiveStages</t>
  </si>
  <si>
    <t>Gao, S [Non-Aboriginal]</t>
  </si>
  <si>
    <t>Gao, S [Aboriginal]</t>
  </si>
  <si>
    <t>04/2009 to 04/2010</t>
  </si>
  <si>
    <t>Juutilainen, A [2002]</t>
  </si>
  <si>
    <t>Juutilainen, A [2007]</t>
  </si>
  <si>
    <t>Kramer, H  [White]</t>
  </si>
  <si>
    <t>Kramer, H [Chinese]</t>
  </si>
  <si>
    <t>Kramer, H [Black]</t>
  </si>
  <si>
    <t>Kramer, H [Hispanic]</t>
  </si>
  <si>
    <t>Peralta, C. A. [White]</t>
  </si>
  <si>
    <t>Peralta, C. A [Black]</t>
  </si>
  <si>
    <t>Tanner, R.M. [White]</t>
  </si>
  <si>
    <t>Tanner, R.M. [Black]</t>
  </si>
  <si>
    <t>Kang, H.T. [KHANES4]</t>
  </si>
  <si>
    <t>Kang, H.T. [KHANES3]</t>
  </si>
  <si>
    <t>Kang, H.T. [KHANES2]</t>
  </si>
  <si>
    <t>Sharma, S.K. [Mongolia]</t>
  </si>
  <si>
    <t>Sharma, S.K. [China]</t>
  </si>
  <si>
    <t>Zhang, L [2007]</t>
  </si>
  <si>
    <t>Zhang, L [2012]</t>
  </si>
  <si>
    <t>Zhang, L. [2008]</t>
  </si>
  <si>
    <t xml:space="preserve">Stengel, B </t>
  </si>
  <si>
    <t xml:space="preserve">Sumaili, E.K. </t>
  </si>
  <si>
    <t xml:space="preserve">Van Pottelbergh </t>
  </si>
  <si>
    <t xml:space="preserve">Iseki, K </t>
  </si>
  <si>
    <t xml:space="preserve">Van Bilijderveen, J.C. </t>
  </si>
  <si>
    <t>Gallieni</t>
  </si>
  <si>
    <t xml:space="preserve">Ruthowski, B. </t>
  </si>
  <si>
    <t xml:space="preserve">Coresh, J. </t>
  </si>
  <si>
    <t>Main Restriction</t>
  </si>
  <si>
    <t>Secondary Restriction</t>
  </si>
  <si>
    <t>Country Grp</t>
  </si>
  <si>
    <t>albumin &gt; 30 mg/L</t>
  </si>
  <si>
    <t>OVERALL_QUALITY</t>
  </si>
  <si>
    <t>CREAT_PERC_MET</t>
  </si>
  <si>
    <t>EndRef</t>
  </si>
  <si>
    <t>{Anesi, 2012 #680}</t>
  </si>
  <si>
    <t>{Anupama, 2014 #681}</t>
  </si>
  <si>
    <t>{Browne, 2012 #685}</t>
  </si>
  <si>
    <t>{Bruce, 2013 #686}</t>
  </si>
  <si>
    <t>{Carlos, 2011 #687}</t>
  </si>
  <si>
    <t>{Cea-Calvo, 2007 #688}</t>
  </si>
  <si>
    <t>{Chen, 2009 #691}</t>
  </si>
  <si>
    <t>{Chudek, 2014 #694}</t>
  </si>
  <si>
    <t>{Covic, 2008 #696}</t>
  </si>
  <si>
    <t>{Denburg, 2011 #699}</t>
  </si>
  <si>
    <t>{Elorza-Ricart, 2012 #700}</t>
  </si>
  <si>
    <t>{Fleet, 2013 #701}</t>
  </si>
  <si>
    <t>{Gallieni, 2013 #702}</t>
  </si>
  <si>
    <t>{Gambaro, 2010 #703}</t>
  </si>
  <si>
    <t>{Gao, 2007 #704}</t>
  </si>
  <si>
    <t>{Giavarina, 2010 #705}</t>
  </si>
  <si>
    <t>{Gifford, 2011 #706}</t>
  </si>
  <si>
    <t>{Glynn, 2009 #707}</t>
  </si>
  <si>
    <t>{Hemmelgarn, 2006 #711}</t>
  </si>
  <si>
    <t>{Hooi, 2013 #712}</t>
  </si>
  <si>
    <t>{Hosseinpanah, 2009 #713}</t>
  </si>
  <si>
    <t>{Hsu, 2006 #714}</t>
  </si>
  <si>
    <t>{Huang, 2014 #715}</t>
  </si>
  <si>
    <t>{Huda, 2012 #716}</t>
  </si>
  <si>
    <t>{Imai, 2009 #717}</t>
  </si>
  <si>
    <t>{Iseki, 2009 #718}</t>
  </si>
  <si>
    <t>{Jessani, 2014 #719}</t>
  </si>
  <si>
    <t>{Jose, 2009 #721}</t>
  </si>
  <si>
    <t>{Juutilainen, 2012 #722}</t>
  </si>
  <si>
    <t>{Kang, 2013 #723}</t>
  </si>
  <si>
    <t>{Khajehdehi, 2014 #724}</t>
  </si>
  <si>
    <t>{Kim, 2009 #725}</t>
  </si>
  <si>
    <t>{Kramer, 2008 #726}</t>
  </si>
  <si>
    <t>{Liang, 2013 #728}</t>
  </si>
  <si>
    <t>{Lin, 2014 #729}</t>
  </si>
  <si>
    <t>{Lou Arnal, 2008 #731}</t>
  </si>
  <si>
    <t>{Lu, 2010 #732}</t>
  </si>
  <si>
    <t>{Maple-Brown, 2011 #733}</t>
  </si>
  <si>
    <t>{Minutolo, 2008 #735}</t>
  </si>
  <si>
    <t>{Nomura, 2009 #739}</t>
  </si>
  <si>
    <t>{Nongpiur, 2010 #740}</t>
  </si>
  <si>
    <t>{Ohno, 2012 #742}</t>
  </si>
  <si>
    <t>{Pani, 2014 #746}</t>
  </si>
  <si>
    <t>{Pena Porta, 2009 #747}</t>
  </si>
  <si>
    <t>{Peralta, 2010 #748}</t>
  </si>
  <si>
    <t>{Ponte, 2013 #750}</t>
  </si>
  <si>
    <t>{Prodjosudjadi, 2009 #751}</t>
  </si>
  <si>
    <t>{Robles, 2013 #752}</t>
  </si>
  <si>
    <t>{Rothenbacher, 2012 #753}</t>
  </si>
  <si>
    <t>{Ryan, 2007 #755}</t>
  </si>
  <si>
    <t>{Sabanayagam, 2010 #756}</t>
  </si>
  <si>
    <t>{Seck, 2014 #759}</t>
  </si>
  <si>
    <t>{Shan, 2010 #760}</t>
  </si>
  <si>
    <t>{Shin, 2014 #763}</t>
  </si>
  <si>
    <t>{Stengel, 2011 #765}</t>
  </si>
  <si>
    <t>{Stevens, 2007 #766}</t>
  </si>
  <si>
    <t>{Sumaili, 2010 #768}</t>
  </si>
  <si>
    <t>{Tanaka, 2006 #770}</t>
  </si>
  <si>
    <t>{Tanner, 2013 #771}</t>
  </si>
  <si>
    <t>{Tomonaga, 2013 #772}</t>
  </si>
  <si>
    <t>{van Blijderveen, 2014 #773}</t>
  </si>
  <si>
    <t>{Van Pottelbergh, 2012 #774}</t>
  </si>
  <si>
    <t>{White, 2010 #778}</t>
  </si>
  <si>
    <t>{Xu, 2014 #779}</t>
  </si>
  <si>
    <t>{Zhang, 2007 #784}</t>
  </si>
  <si>
    <t>{Zhang, 2009 #785}</t>
  </si>
  <si>
    <t>{Arora, 2013 #788}</t>
  </si>
  <si>
    <t>{Barahimi, 2011 #790}</t>
  </si>
  <si>
    <t>{Cepoi, 2012 #795}</t>
  </si>
  <si>
    <t>{Chen, 2005 #796}</t>
  </si>
  <si>
    <t>{Chen, 2009 #798}</t>
  </si>
  <si>
    <t>{Chen, 2011 #799}</t>
  </si>
  <si>
    <t>{Coresh, 2007 #801}</t>
  </si>
  <si>
    <t>{Crews, 2010 #803}</t>
  </si>
  <si>
    <t>{de Francisco, 2007 #804}</t>
  </si>
  <si>
    <t>{Go, 2004 #814}</t>
  </si>
  <si>
    <t>{Gu, 2013 #815}</t>
  </si>
  <si>
    <t>{Hallan, 2006 #816}</t>
  </si>
  <si>
    <t>{Jiang, 2010 #826}</t>
  </si>
  <si>
    <t>{Li, 2006 #833}</t>
  </si>
  <si>
    <t>{Liu, 2012 #836}</t>
  </si>
  <si>
    <t>{Matsha, 2013 #840}</t>
  </si>
  <si>
    <t>{Nagata, 2010 #842}</t>
  </si>
  <si>
    <t>{Najafi, 2012 #843}</t>
  </si>
  <si>
    <t>{Nitsch, 2006 #844}</t>
  </si>
  <si>
    <t>{O'Callaghan, 2011 #847}</t>
  </si>
  <si>
    <t>{Ong-Ajyooth, 2009 #849}</t>
  </si>
  <si>
    <t>{Otero, 2010 #851}</t>
  </si>
  <si>
    <t>{Perkovic, 2008 #855}</t>
  </si>
  <si>
    <t>{Rutkowski, 2008 #860}</t>
  </si>
  <si>
    <t>{Safarinejad, 2009 #863}</t>
  </si>
  <si>
    <t>{Sahin, 2009 #864}</t>
  </si>
  <si>
    <t>{Sharma, 2013 #867}</t>
  </si>
  <si>
    <t>{Sharma, 2010 #868}</t>
  </si>
  <si>
    <t>{Singh, 2009 #870}</t>
  </si>
  <si>
    <t>{Suleymanlar, 2011 #873}</t>
  </si>
  <si>
    <t>{Vinhas, 2011 #881}</t>
  </si>
  <si>
    <t>{Wen, 2008 #883}</t>
  </si>
  <si>
    <t>{Zhang, 2012 #888}</t>
  </si>
  <si>
    <t>{Zhang, 2008 #889}</t>
  </si>
  <si>
    <t>Chen, W. [Tibet 2011]</t>
  </si>
  <si>
    <t>Chen, W. [Guangzhou 2009]</t>
  </si>
  <si>
    <t>Chen, W.N [Shanghai 2009]</t>
  </si>
  <si>
    <t>01/2004 to 12/2005</t>
  </si>
  <si>
    <t>2001 to 2002</t>
  </si>
  <si>
    <t>NA</t>
  </si>
  <si>
    <t>06/2003 to 10/2007</t>
  </si>
  <si>
    <t>Switzerland</t>
  </si>
  <si>
    <t>07/2000 to 12/2002</t>
  </si>
  <si>
    <t>Germany</t>
  </si>
  <si>
    <t>Thailand</t>
  </si>
  <si>
    <t>03/2009 to 04/2010</t>
  </si>
  <si>
    <t>08/2004 to 07/2006</t>
  </si>
  <si>
    <t>01/2002 to 2008</t>
  </si>
  <si>
    <t>Bruce M.A.</t>
  </si>
  <si>
    <t>Gifford, F.J. [1st Pop]</t>
  </si>
  <si>
    <t>Gifford, F.J. [2nd Pop]</t>
  </si>
  <si>
    <t>Sharma, S.K. [Nepal 2013]</t>
  </si>
  <si>
    <t>Sharma, S.K. [Nepal 2007]</t>
  </si>
  <si>
    <t>Agestandardised</t>
  </si>
  <si>
    <t>nStage1</t>
  </si>
  <si>
    <t>nStage2</t>
  </si>
  <si>
    <t>nStage3</t>
  </si>
  <si>
    <t>nStage4</t>
  </si>
  <si>
    <t>nStage5</t>
  </si>
  <si>
    <t>nOverall</t>
  </si>
  <si>
    <t>nMOverall</t>
  </si>
  <si>
    <t>nFOverall</t>
  </si>
  <si>
    <t>StratifiedSampling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</si>
</sst>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1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scheme val="minor"/>
    </font>
    <font>
      <b/>
      <sz val="12"/>
      <color theme="8" tint="-0.249977111117893"/>
      <name val="Calibri"/>
      <scheme val="minor"/>
    </font>
    <font>
      <sz val="12"/>
      <color theme="8" tint="-0.249977111117893"/>
      <name val="Calibri"/>
      <scheme val="minor"/>
    </font>
    <font>
      <sz val="12"/>
      <color theme="8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DA589B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4DFEC"/>
        <bgColor rgb="FF0000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3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5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10" borderId="0" xfId="0" applyNumberFormat="1" applyFont="1" applyFill="1" applyBorder="1" applyAlignment="1">
      <alignment horizontal="center"/>
    </xf>
    <xf numFmtId="0" fontId="3" fillId="0" borderId="0" xfId="0" applyNumberFormat="1" applyFont="1" applyFill="1"/>
    <xf numFmtId="0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Border="1"/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2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0" xfId="0" applyFont="1" applyFill="1" applyBorder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8" borderId="0" xfId="0" applyNumberFormat="1" applyFont="1" applyFill="1" applyAlignment="1">
      <alignment horizontal="center"/>
    </xf>
    <xf numFmtId="165" fontId="3" fillId="8" borderId="0" xfId="0" applyNumberFormat="1" applyFont="1" applyFill="1" applyBorder="1" applyAlignment="1">
      <alignment horizontal="center"/>
    </xf>
    <xf numFmtId="165" fontId="3" fillId="9" borderId="0" xfId="0" applyNumberFormat="1" applyFont="1" applyFill="1" applyAlignment="1">
      <alignment horizontal="center"/>
    </xf>
    <xf numFmtId="165" fontId="3" fillId="9" borderId="0" xfId="0" applyNumberFormat="1" applyFont="1" applyFill="1" applyBorder="1" applyAlignment="1">
      <alignment horizontal="center"/>
    </xf>
    <xf numFmtId="165" fontId="3" fillId="10" borderId="0" xfId="0" applyNumberFormat="1" applyFont="1" applyFill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3" fillId="0" borderId="0" xfId="0" applyNumberFormat="1" applyFont="1"/>
    <xf numFmtId="0" fontId="0" fillId="0" borderId="0" xfId="0" applyFill="1"/>
    <xf numFmtId="0" fontId="2" fillId="0" borderId="0" xfId="0" applyFont="1" applyFill="1" applyBorder="1"/>
    <xf numFmtId="0" fontId="2" fillId="7" borderId="3" xfId="0" applyNumberFormat="1" applyFont="1" applyFill="1" applyBorder="1" applyAlignment="1">
      <alignment horizontal="center"/>
    </xf>
    <xf numFmtId="0" fontId="2" fillId="15" borderId="3" xfId="0" applyNumberFormat="1" applyFont="1" applyFill="1" applyBorder="1" applyAlignment="1">
      <alignment horizontal="center"/>
    </xf>
    <xf numFmtId="0" fontId="3" fillId="15" borderId="3" xfId="0" applyNumberFormat="1" applyFont="1" applyFill="1" applyBorder="1" applyAlignment="1">
      <alignment horizontal="center"/>
    </xf>
    <xf numFmtId="0" fontId="0" fillId="15" borderId="3" xfId="0" applyNumberFormat="1" applyFont="1" applyFill="1" applyBorder="1" applyAlignment="1">
      <alignment horizontal="center"/>
    </xf>
    <xf numFmtId="0" fontId="0" fillId="15" borderId="3" xfId="0" applyNumberForma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17" fontId="3" fillId="0" borderId="0" xfId="0" applyNumberFormat="1" applyFont="1" applyAlignment="1">
      <alignment horizontal="left"/>
    </xf>
    <xf numFmtId="17" fontId="3" fillId="0" borderId="0" xfId="0" quotePrefix="1" applyNumberFormat="1" applyFont="1"/>
    <xf numFmtId="10" fontId="0" fillId="0" borderId="0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8" fillId="8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165" fontId="8" fillId="9" borderId="1" xfId="0" applyNumberFormat="1" applyFont="1" applyFill="1" applyBorder="1" applyAlignment="1">
      <alignment horizontal="center"/>
    </xf>
    <xf numFmtId="165" fontId="8" fillId="10" borderId="1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165" fontId="8" fillId="0" borderId="0" xfId="0" applyNumberFormat="1" applyFont="1" applyBorder="1" applyAlignment="1">
      <alignment horizontal="center"/>
    </xf>
    <xf numFmtId="0" fontId="0" fillId="0" borderId="0" xfId="0" applyFont="1" applyBorder="1"/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2" fillId="11" borderId="3" xfId="0" applyNumberFormat="1" applyFont="1" applyFill="1" applyBorder="1" applyAlignment="1">
      <alignment horizontal="left"/>
    </xf>
    <xf numFmtId="10" fontId="9" fillId="11" borderId="0" xfId="0" applyNumberFormat="1" applyFont="1" applyFill="1" applyAlignment="1">
      <alignment horizontal="left"/>
    </xf>
    <xf numFmtId="2" fontId="2" fillId="6" borderId="0" xfId="0" applyNumberFormat="1" applyFont="1" applyFill="1" applyAlignment="1">
      <alignment horizontal="left"/>
    </xf>
    <xf numFmtId="10" fontId="9" fillId="6" borderId="0" xfId="0" applyNumberFormat="1" applyFont="1" applyFill="1" applyAlignment="1">
      <alignment horizontal="left"/>
    </xf>
    <xf numFmtId="2" fontId="2" fillId="11" borderId="0" xfId="0" applyNumberFormat="1" applyFont="1" applyFill="1" applyAlignment="1">
      <alignment horizontal="left"/>
    </xf>
    <xf numFmtId="2" fontId="2" fillId="12" borderId="0" xfId="0" applyNumberFormat="1" applyFont="1" applyFill="1" applyAlignment="1">
      <alignment horizontal="left"/>
    </xf>
    <xf numFmtId="10" fontId="9" fillId="12" borderId="0" xfId="0" applyNumberFormat="1" applyFont="1" applyFill="1" applyAlignment="1">
      <alignment horizontal="left"/>
    </xf>
    <xf numFmtId="2" fontId="3" fillId="0" borderId="3" xfId="0" applyNumberFormat="1" applyFont="1" applyBorder="1" applyAlignment="1">
      <alignment horizontal="left"/>
    </xf>
    <xf numFmtId="0" fontId="10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13" borderId="0" xfId="0" applyNumberFormat="1" applyFont="1" applyFill="1" applyAlignment="1">
      <alignment horizontal="left"/>
    </xf>
    <xf numFmtId="2" fontId="0" fillId="0" borderId="3" xfId="0" applyNumberFormat="1" applyFont="1" applyFill="1" applyBorder="1" applyAlignment="1">
      <alignment horizontal="left"/>
    </xf>
    <xf numFmtId="165" fontId="10" fillId="0" borderId="0" xfId="0" applyNumberFormat="1" applyFont="1" applyFill="1" applyAlignment="1">
      <alignment horizontal="left"/>
    </xf>
    <xf numFmtId="2" fontId="0" fillId="0" borderId="0" xfId="0" applyNumberFormat="1" applyFont="1" applyFill="1" applyAlignment="1">
      <alignment horizontal="left"/>
    </xf>
    <xf numFmtId="2" fontId="3" fillId="0" borderId="3" xfId="0" applyNumberFormat="1" applyFont="1" applyFill="1" applyBorder="1" applyAlignment="1">
      <alignment horizontal="left"/>
    </xf>
    <xf numFmtId="0" fontId="10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left"/>
    </xf>
    <xf numFmtId="2" fontId="0" fillId="0" borderId="3" xfId="0" applyNumberForma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165" fontId="10" fillId="0" borderId="0" xfId="0" quotePrefix="1" applyNumberFormat="1" applyFont="1" applyFill="1" applyAlignment="1">
      <alignment horizontal="left"/>
    </xf>
    <xf numFmtId="165" fontId="10" fillId="0" borderId="0" xfId="0" applyNumberFormat="1" applyFont="1" applyFill="1" applyBorder="1" applyAlignment="1">
      <alignment horizontal="left"/>
    </xf>
    <xf numFmtId="2" fontId="0" fillId="0" borderId="3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0" xfId="0" applyFont="1" applyFill="1" applyAlignment="1">
      <alignment horizontal="left"/>
    </xf>
    <xf numFmtId="165" fontId="3" fillId="0" borderId="3" xfId="0" applyNumberFormat="1" applyFont="1" applyBorder="1" applyAlignment="1">
      <alignment horizontal="left"/>
    </xf>
    <xf numFmtId="165" fontId="10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2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2" fontId="0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quotePrefix="1" applyFont="1" applyAlignment="1">
      <alignment horizontal="left"/>
    </xf>
    <xf numFmtId="2" fontId="0" fillId="0" borderId="0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0" fillId="0" borderId="0" xfId="0" applyBorder="1"/>
    <xf numFmtId="0" fontId="0" fillId="0" borderId="5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0" fillId="15" borderId="1" xfId="0" applyNumberFormat="1" applyFont="1" applyFill="1" applyBorder="1" applyAlignment="1">
      <alignment horizontal="center"/>
    </xf>
    <xf numFmtId="164" fontId="3" fillId="15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5" fontId="3" fillId="9" borderId="3" xfId="0" applyNumberFormat="1" applyFont="1" applyFill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165" fontId="3" fillId="0" borderId="3" xfId="0" applyNumberFormat="1" applyFont="1" applyFill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165" fontId="3" fillId="10" borderId="3" xfId="0" applyNumberFormat="1" applyFont="1" applyFill="1" applyBorder="1" applyAlignment="1">
      <alignment horizontal="center"/>
    </xf>
    <xf numFmtId="0" fontId="2" fillId="16" borderId="0" xfId="0" applyFont="1" applyFill="1"/>
    <xf numFmtId="9" fontId="3" fillId="7" borderId="0" xfId="0" applyNumberFormat="1" applyFont="1" applyFill="1" applyBorder="1" applyAlignment="1">
      <alignment horizontal="center"/>
    </xf>
    <xf numFmtId="9" fontId="8" fillId="7" borderId="0" xfId="0" applyNumberFormat="1" applyFont="1" applyFill="1" applyBorder="1" applyAlignment="1">
      <alignment horizontal="center"/>
    </xf>
    <xf numFmtId="9" fontId="0" fillId="15" borderId="0" xfId="0" applyNumberFormat="1" applyFont="1" applyFill="1" applyBorder="1" applyAlignment="1">
      <alignment horizontal="center"/>
    </xf>
    <xf numFmtId="9" fontId="3" fillId="15" borderId="0" xfId="0" applyNumberFormat="1" applyFont="1" applyFill="1" applyBorder="1" applyAlignment="1">
      <alignment horizontal="center"/>
    </xf>
    <xf numFmtId="9" fontId="0" fillId="7" borderId="0" xfId="0" applyNumberFormat="1" applyFont="1" applyFill="1" applyBorder="1" applyAlignment="1">
      <alignment horizontal="center"/>
    </xf>
    <xf numFmtId="164" fontId="0" fillId="15" borderId="0" xfId="0" applyNumberFormat="1" applyFont="1" applyFill="1" applyBorder="1" applyAlignment="1">
      <alignment horizontal="center"/>
    </xf>
    <xf numFmtId="165" fontId="11" fillId="8" borderId="0" xfId="0" applyNumberFormat="1" applyFont="1" applyFill="1" applyBorder="1" applyAlignment="1">
      <alignment horizontal="center"/>
    </xf>
    <xf numFmtId="165" fontId="11" fillId="0" borderId="0" xfId="0" applyNumberFormat="1" applyFont="1" applyBorder="1" applyAlignment="1">
      <alignment horizontal="center"/>
    </xf>
    <xf numFmtId="165" fontId="11" fillId="17" borderId="0" xfId="0" applyNumberFormat="1" applyFont="1" applyFill="1" applyAlignment="1">
      <alignment horizontal="center"/>
    </xf>
    <xf numFmtId="165" fontId="8" fillId="9" borderId="0" xfId="0" applyNumberFormat="1" applyFont="1" applyFill="1" applyBorder="1" applyAlignment="1">
      <alignment horizontal="center"/>
    </xf>
    <xf numFmtId="165" fontId="8" fillId="10" borderId="0" xfId="0" applyNumberFormat="1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left"/>
    </xf>
    <xf numFmtId="0" fontId="0" fillId="15" borderId="0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</cellXfs>
  <cellStyles count="7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1" tint="0.499984740745262"/>
    <pageSetUpPr fitToPage="1"/>
  </sheetPr>
  <dimension ref="A1:CH113"/>
  <sheetViews>
    <sheetView tabSelected="1" workbookViewId="0">
      <pane xSplit="5" ySplit="1" topLeftCell="BG2" activePane="bottomRight" state="frozen"/>
      <selection activeCell="B61" sqref="B61:B130"/>
      <selection pane="topRight" activeCell="B61" sqref="B61:B130"/>
      <selection pane="bottomLeft" activeCell="B61" sqref="B61:B130"/>
      <selection pane="bottomRight" activeCell="CF1" sqref="CF1"/>
    </sheetView>
  </sheetViews>
  <sheetFormatPr baseColWidth="10" defaultColWidth="8.83203125" defaultRowHeight="21" customHeight="1" x14ac:dyDescent="0"/>
  <cols>
    <col min="1" max="1" width="14.1640625" style="6" bestFit="1" customWidth="1"/>
    <col min="2" max="2" width="9.1640625" style="17" bestFit="1" customWidth="1"/>
    <col min="3" max="3" width="24.5" style="17" bestFit="1" customWidth="1"/>
    <col min="4" max="4" width="18.33203125" style="18" bestFit="1" customWidth="1"/>
    <col min="5" max="5" width="15.5" style="17" bestFit="1" customWidth="1"/>
    <col min="6" max="6" width="15.5" style="17" customWidth="1"/>
    <col min="7" max="7" width="16.1640625" style="17" customWidth="1"/>
    <col min="8" max="8" width="8.6640625" style="19" customWidth="1"/>
    <col min="9" max="9" width="30.1640625" style="19" customWidth="1"/>
    <col min="10" max="11" width="20.1640625" style="19" customWidth="1"/>
    <col min="12" max="12" width="11.83203125" style="49" customWidth="1"/>
    <col min="13" max="13" width="6.83203125" style="20" bestFit="1" customWidth="1"/>
    <col min="14" max="14" width="11" style="20" bestFit="1" customWidth="1"/>
    <col min="15" max="15" width="6.33203125" style="20" bestFit="1" customWidth="1"/>
    <col min="16" max="16" width="12.1640625" style="20" bestFit="1" customWidth="1"/>
    <col min="17" max="17" width="12" style="20" bestFit="1" customWidth="1"/>
    <col min="18" max="18" width="19.33203125" style="20" customWidth="1"/>
    <col min="19" max="19" width="10.33203125" style="125" customWidth="1"/>
    <col min="20" max="20" width="30.6640625" style="126" customWidth="1"/>
    <col min="21" max="21" width="13.1640625" style="127" customWidth="1"/>
    <col min="22" max="22" width="10.33203125" style="126" customWidth="1"/>
    <col min="23" max="23" width="10.33203125" style="127" customWidth="1"/>
    <col min="24" max="24" width="22.1640625" style="126" customWidth="1"/>
    <col min="25" max="25" width="10.33203125" style="127" customWidth="1"/>
    <col min="26" max="26" width="10.33203125" style="126" customWidth="1"/>
    <col min="27" max="27" width="10.33203125" style="127" customWidth="1"/>
    <col min="28" max="28" width="15.33203125" style="126" customWidth="1"/>
    <col min="29" max="29" width="29.1640625" style="62" customWidth="1"/>
    <col min="30" max="30" width="7.6640625" style="134" customWidth="1"/>
    <col min="31" max="31" width="16.5" style="145" bestFit="1" customWidth="1"/>
    <col min="32" max="32" width="17.1640625" style="142" bestFit="1" customWidth="1"/>
    <col min="33" max="33" width="16" style="29" bestFit="1" customWidth="1"/>
    <col min="34" max="34" width="17.5" style="29" bestFit="1" customWidth="1"/>
    <col min="35" max="35" width="10.83203125" style="29" bestFit="1" customWidth="1"/>
    <col min="36" max="36" width="12.5" style="29" bestFit="1" customWidth="1"/>
    <col min="37" max="37" width="12.5" style="73" customWidth="1"/>
    <col min="38" max="38" width="8.1640625" style="48" bestFit="1" customWidth="1"/>
    <col min="39" max="39" width="7.1640625" style="55" bestFit="1" customWidth="1"/>
    <col min="40" max="40" width="7.1640625" style="149" customWidth="1"/>
    <col min="41" max="41" width="10.33203125" style="48" bestFit="1" customWidth="1"/>
    <col min="42" max="42" width="6.33203125" style="55" customWidth="1"/>
    <col min="43" max="43" width="6.33203125" style="149" customWidth="1"/>
    <col min="44" max="44" width="9.1640625" style="48" bestFit="1" customWidth="1"/>
    <col min="45" max="45" width="6.33203125" style="55" customWidth="1"/>
    <col min="46" max="46" width="7.5" style="149" customWidth="1"/>
    <col min="47" max="47" width="8.1640625" style="48" bestFit="1" customWidth="1"/>
    <col min="48" max="48" width="6.33203125" style="55" customWidth="1"/>
    <col min="49" max="49" width="7.5" style="149" customWidth="1"/>
    <col min="50" max="50" width="8.1640625" style="48" bestFit="1" customWidth="1"/>
    <col min="51" max="51" width="6.33203125" style="55" customWidth="1"/>
    <col min="52" max="52" width="6.33203125" style="149" customWidth="1"/>
    <col min="53" max="53" width="9.1640625" style="75" bestFit="1" customWidth="1"/>
    <col min="54" max="54" width="4.1640625" style="55" customWidth="1"/>
    <col min="55" max="55" width="13.6640625" style="55" bestFit="1" customWidth="1"/>
    <col min="56" max="56" width="8.83203125" style="136" bestFit="1" customWidth="1"/>
    <col min="57" max="60" width="8.83203125" style="48" bestFit="1" customWidth="1"/>
    <col min="61" max="61" width="8.6640625" style="75" bestFit="1" customWidth="1"/>
    <col min="62" max="62" width="8.6640625" style="85" customWidth="1"/>
    <col min="63" max="63" width="6.33203125" style="55" customWidth="1"/>
    <col min="64" max="64" width="8.1640625" style="136" bestFit="1" customWidth="1"/>
    <col min="65" max="68" width="8.1640625" style="48" bestFit="1" customWidth="1"/>
    <col min="69" max="69" width="8" style="75" bestFit="1" customWidth="1"/>
    <col min="70" max="70" width="8" style="85" customWidth="1"/>
    <col min="71" max="71" width="9.83203125" style="21" customWidth="1"/>
    <col min="72" max="72" width="12.5" style="73" customWidth="1"/>
    <col min="73" max="73" width="8.1640625" style="48" bestFit="1" customWidth="1"/>
    <col min="74" max="74" width="6.33203125" style="55" customWidth="1"/>
    <col min="75" max="75" width="8.33203125" style="48" bestFit="1" customWidth="1"/>
    <col min="76" max="76" width="6.33203125" style="55" customWidth="1"/>
    <col min="77" max="77" width="8.1640625" style="48" bestFit="1" customWidth="1"/>
    <col min="78" max="78" width="6.33203125" style="55" customWidth="1"/>
    <col min="79" max="79" width="8.1640625" style="48" bestFit="1" customWidth="1"/>
    <col min="80" max="80" width="6.33203125" style="55" customWidth="1"/>
    <col min="81" max="81" width="8.1640625" style="48" bestFit="1" customWidth="1"/>
    <col min="82" max="82" width="6.33203125" style="55" customWidth="1"/>
    <col min="83" max="83" width="8" style="55" bestFit="1" customWidth="1"/>
    <col min="84" max="84" width="8.83203125" style="129"/>
    <col min="85" max="85" width="8.83203125" style="6"/>
    <col min="86" max="86" width="8.83203125" style="10"/>
    <col min="87" max="16384" width="8.83203125" style="6"/>
  </cols>
  <sheetData>
    <row r="1" spans="1:86" ht="21" customHeight="1">
      <c r="A1" s="1" t="s">
        <v>593</v>
      </c>
      <c r="B1" s="1" t="s">
        <v>6</v>
      </c>
      <c r="C1" s="1" t="s">
        <v>7</v>
      </c>
      <c r="D1" s="2" t="s">
        <v>8</v>
      </c>
      <c r="E1" s="3" t="s">
        <v>9</v>
      </c>
      <c r="F1" s="3" t="s">
        <v>589</v>
      </c>
      <c r="G1" s="3" t="s">
        <v>10</v>
      </c>
      <c r="H1" s="3" t="s">
        <v>11</v>
      </c>
      <c r="I1" s="141" t="s">
        <v>187</v>
      </c>
      <c r="J1" s="141" t="s">
        <v>587</v>
      </c>
      <c r="K1" s="141" t="s">
        <v>588</v>
      </c>
      <c r="L1" s="42" t="s">
        <v>12</v>
      </c>
      <c r="M1" s="4" t="s">
        <v>0</v>
      </c>
      <c r="N1" s="5" t="s">
        <v>1</v>
      </c>
      <c r="O1" s="4" t="s">
        <v>2</v>
      </c>
      <c r="P1" s="5" t="s">
        <v>3</v>
      </c>
      <c r="Q1" s="4" t="s">
        <v>4</v>
      </c>
      <c r="R1" s="5" t="s">
        <v>5</v>
      </c>
      <c r="S1" s="89" t="s">
        <v>13</v>
      </c>
      <c r="T1" s="90" t="s">
        <v>14</v>
      </c>
      <c r="U1" s="91" t="s">
        <v>15</v>
      </c>
      <c r="V1" s="92" t="s">
        <v>16</v>
      </c>
      <c r="W1" s="93" t="s">
        <v>17</v>
      </c>
      <c r="X1" s="90" t="s">
        <v>18</v>
      </c>
      <c r="Y1" s="91" t="s">
        <v>19</v>
      </c>
      <c r="Z1" s="92" t="s">
        <v>20</v>
      </c>
      <c r="AA1" s="94" t="s">
        <v>21</v>
      </c>
      <c r="AB1" s="95" t="s">
        <v>22</v>
      </c>
      <c r="AC1" s="61" t="s">
        <v>162</v>
      </c>
      <c r="AD1" s="130" t="s">
        <v>163</v>
      </c>
      <c r="AE1" s="143" t="s">
        <v>592</v>
      </c>
      <c r="AF1" s="143" t="s">
        <v>591</v>
      </c>
      <c r="AG1" s="41" t="s">
        <v>139</v>
      </c>
      <c r="AH1" s="41" t="s">
        <v>140</v>
      </c>
      <c r="AI1" s="41" t="s">
        <v>141</v>
      </c>
      <c r="AJ1" s="41" t="s">
        <v>142</v>
      </c>
      <c r="AK1" s="82" t="s">
        <v>189</v>
      </c>
      <c r="AL1" s="50" t="s">
        <v>143</v>
      </c>
      <c r="AM1" s="51" t="s">
        <v>164</v>
      </c>
      <c r="AN1" s="148" t="s">
        <v>714</v>
      </c>
      <c r="AO1" s="50" t="s">
        <v>144</v>
      </c>
      <c r="AP1" s="51" t="s">
        <v>165</v>
      </c>
      <c r="AQ1" s="148" t="s">
        <v>715</v>
      </c>
      <c r="AR1" s="50" t="s">
        <v>145</v>
      </c>
      <c r="AS1" s="51" t="s">
        <v>166</v>
      </c>
      <c r="AT1" s="148" t="s">
        <v>716</v>
      </c>
      <c r="AU1" s="50" t="s">
        <v>146</v>
      </c>
      <c r="AV1" s="51" t="s">
        <v>167</v>
      </c>
      <c r="AW1" s="150" t="s">
        <v>717</v>
      </c>
      <c r="AX1" s="50" t="s">
        <v>147</v>
      </c>
      <c r="AY1" s="51" t="s">
        <v>168</v>
      </c>
      <c r="AZ1" s="150" t="s">
        <v>718</v>
      </c>
      <c r="BA1" s="74" t="s">
        <v>148</v>
      </c>
      <c r="BB1" s="51" t="s">
        <v>149</v>
      </c>
      <c r="BC1" s="51" t="s">
        <v>719</v>
      </c>
      <c r="BD1" s="135" t="s">
        <v>150</v>
      </c>
      <c r="BE1" s="52" t="s">
        <v>151</v>
      </c>
      <c r="BF1" s="52" t="s">
        <v>152</v>
      </c>
      <c r="BG1" s="52" t="s">
        <v>153</v>
      </c>
      <c r="BH1" s="52" t="s">
        <v>154</v>
      </c>
      <c r="BI1" s="78" t="s">
        <v>155</v>
      </c>
      <c r="BJ1" s="151" t="s">
        <v>720</v>
      </c>
      <c r="BK1" s="53" t="s">
        <v>169</v>
      </c>
      <c r="BL1" s="140" t="s">
        <v>156</v>
      </c>
      <c r="BM1" s="54" t="s">
        <v>157</v>
      </c>
      <c r="BN1" s="54" t="s">
        <v>158</v>
      </c>
      <c r="BO1" s="54" t="s">
        <v>159</v>
      </c>
      <c r="BP1" s="54" t="s">
        <v>160</v>
      </c>
      <c r="BQ1" s="79" t="s">
        <v>161</v>
      </c>
      <c r="BR1" s="152" t="s">
        <v>721</v>
      </c>
      <c r="BS1" s="22" t="s">
        <v>170</v>
      </c>
      <c r="BT1" s="70" t="s">
        <v>189</v>
      </c>
      <c r="BU1" s="50" t="s">
        <v>544</v>
      </c>
      <c r="BV1" s="51" t="s">
        <v>545</v>
      </c>
      <c r="BW1" s="50" t="s">
        <v>546</v>
      </c>
      <c r="BX1" s="51" t="s">
        <v>547</v>
      </c>
      <c r="BY1" s="50" t="s">
        <v>548</v>
      </c>
      <c r="BZ1" s="51" t="s">
        <v>549</v>
      </c>
      <c r="CA1" s="50" t="s">
        <v>550</v>
      </c>
      <c r="CB1" s="51" t="s">
        <v>551</v>
      </c>
      <c r="CC1" s="50" t="s">
        <v>552</v>
      </c>
      <c r="CD1" s="51" t="s">
        <v>553</v>
      </c>
      <c r="CE1" s="51" t="s">
        <v>554</v>
      </c>
      <c r="CF1" s="80" t="s">
        <v>557</v>
      </c>
      <c r="CG1" s="6" t="s">
        <v>713</v>
      </c>
      <c r="CH1" s="6" t="s">
        <v>722</v>
      </c>
    </row>
    <row r="2" spans="1:86" s="60" customFormat="1" ht="21" customHeight="1">
      <c r="A2" s="7" t="s">
        <v>594</v>
      </c>
      <c r="B2" s="25" t="s">
        <v>457</v>
      </c>
      <c r="C2" s="7" t="s">
        <v>375</v>
      </c>
      <c r="D2" s="8" t="s">
        <v>370</v>
      </c>
      <c r="E2" s="7" t="s">
        <v>177</v>
      </c>
      <c r="F2" s="128">
        <v>4</v>
      </c>
      <c r="G2" s="86">
        <v>186757</v>
      </c>
      <c r="H2" s="7" t="s">
        <v>29</v>
      </c>
      <c r="I2" s="86" t="s">
        <v>371</v>
      </c>
      <c r="J2" s="128" t="s">
        <v>531</v>
      </c>
      <c r="K2" s="128" t="s">
        <v>527</v>
      </c>
      <c r="L2" s="87">
        <v>52</v>
      </c>
      <c r="M2" s="88">
        <v>-999</v>
      </c>
      <c r="N2" s="88">
        <v>-999</v>
      </c>
      <c r="O2" s="88">
        <v>-999</v>
      </c>
      <c r="P2" s="88">
        <v>-999</v>
      </c>
      <c r="Q2" s="88">
        <v>-999</v>
      </c>
      <c r="R2" s="88">
        <v>-999</v>
      </c>
      <c r="S2" s="124">
        <v>-999</v>
      </c>
      <c r="T2" s="120">
        <v>-999</v>
      </c>
      <c r="U2" s="124">
        <v>-999</v>
      </c>
      <c r="V2" s="120">
        <v>-999</v>
      </c>
      <c r="W2" s="124">
        <v>-999</v>
      </c>
      <c r="X2" s="120">
        <v>-999</v>
      </c>
      <c r="Y2" s="124">
        <v>-999</v>
      </c>
      <c r="Z2" s="120">
        <v>-999</v>
      </c>
      <c r="AA2" s="124">
        <v>-999</v>
      </c>
      <c r="AB2" s="120">
        <v>-999</v>
      </c>
      <c r="AC2" s="154">
        <v>15</v>
      </c>
      <c r="AD2" s="147">
        <v>0.5357142857142857</v>
      </c>
      <c r="AE2" s="144">
        <f t="shared" ref="AE2:AE33" si="0">IF(COUNTIF(AG2:AJ2,TRUE)&lt;&gt;0,COUNTIF(AG2:AJ2,TRUE)/4,0)</f>
        <v>0.5</v>
      </c>
      <c r="AF2" s="146">
        <f t="shared" ref="AF2:AF33" si="1">(AD2*0.66)+(AE2*0.34)</f>
        <v>0.52357142857142858</v>
      </c>
      <c r="AG2" s="29" t="b">
        <v>0</v>
      </c>
      <c r="AH2" s="29" t="b">
        <v>1</v>
      </c>
      <c r="AI2" s="29" t="b">
        <v>0</v>
      </c>
      <c r="AJ2" s="29" t="b">
        <v>1</v>
      </c>
      <c r="AK2" s="29" t="s">
        <v>190</v>
      </c>
      <c r="AL2" s="55">
        <v>-999</v>
      </c>
      <c r="AM2" s="55">
        <f t="shared" ref="AM2:AM33" si="2">IF(AL2&lt;&gt;-999,SQRT(AL2*(100-AL2)/$G2),-999)</f>
        <v>-999</v>
      </c>
      <c r="AN2" s="149">
        <f>IF(AL2&lt;&gt;-999,(AL2/100)*$G2,-999)</f>
        <v>-999</v>
      </c>
      <c r="AO2" s="55">
        <v>-999</v>
      </c>
      <c r="AP2" s="55">
        <f t="shared" ref="AP2:AP33" si="3">IF(AO2&lt;&gt;-999,SQRT(AO2*(100-AO2)/$G2),-999)</f>
        <v>-999</v>
      </c>
      <c r="AQ2" s="149">
        <f t="shared" ref="AQ2:AQ33" si="4">IF(AO2&lt;&gt;-999,(AO2/100)*$G2,-999)</f>
        <v>-999</v>
      </c>
      <c r="AR2" s="55">
        <v>4.0999999999999996</v>
      </c>
      <c r="AS2" s="55">
        <f t="shared" ref="AS2:AS33" si="5">IF(AR2&lt;&gt;-999,SQRT(AR2*(100-AR2)/$G2),-999)</f>
        <v>4.5884160208094792E-2</v>
      </c>
      <c r="AT2" s="149">
        <f t="shared" ref="AT2:AT33" si="6">IF(AR2&lt;&gt;-999,(AR2/100)*$G2,-999)</f>
        <v>7657.0369999999994</v>
      </c>
      <c r="AU2" s="55">
        <v>0.6</v>
      </c>
      <c r="AV2" s="55">
        <f t="shared" ref="AV2:AV33" si="7">IF(AU2&lt;&gt;-999,SQRT(AU2*(100-AU2)/$G2),-999)</f>
        <v>1.7870239494979907E-2</v>
      </c>
      <c r="AW2" s="149">
        <f t="shared" ref="AW2:AW33" si="8">IF(AU2&lt;&gt;-999,(AU2/100)*$G2,-999)</f>
        <v>1120.5419999999999</v>
      </c>
      <c r="AX2" s="55">
        <v>0.5</v>
      </c>
      <c r="AY2" s="55">
        <f t="shared" ref="AY2:AY33" si="9">IF(AX2&lt;&gt;-999,SQRT(AX2*(100-AX2)/$G2),-999)</f>
        <v>1.6321425915702976E-2</v>
      </c>
      <c r="AZ2" s="149">
        <f t="shared" ref="AZ2:AZ33" si="10">IF(AX2&lt;&gt;-999,(AX2/100)*$G2,-999)</f>
        <v>933.78499999999997</v>
      </c>
      <c r="BA2" s="85">
        <v>5.2</v>
      </c>
      <c r="BB2" s="55">
        <f t="shared" ref="BB2:BB33" si="11">IF(BA2&lt;&gt;-999,SQRT(BA2*(100-BA2)/$G2),-999)</f>
        <v>5.1376840840864843E-2</v>
      </c>
      <c r="BC2" s="55">
        <f t="shared" ref="BC2:BC33" si="12">IF(G2&lt;&gt;-999,(BA2/100)*G2,-999)</f>
        <v>9711.3640000000014</v>
      </c>
      <c r="BD2" s="44">
        <v>-999</v>
      </c>
      <c r="BE2" s="44">
        <v>-999</v>
      </c>
      <c r="BF2" s="44">
        <v>-999</v>
      </c>
      <c r="BG2" s="44">
        <v>-999</v>
      </c>
      <c r="BH2" s="44">
        <v>-999</v>
      </c>
      <c r="BI2" s="81">
        <v>-999</v>
      </c>
      <c r="BJ2" s="81">
        <f t="shared" ref="BJ2:BJ33" si="13">IF(BI2&lt;&gt;-999,(BI2/100)*$G2,-999)</f>
        <v>-999</v>
      </c>
      <c r="BK2" s="55">
        <f t="shared" ref="BK2:BK33" si="14">IF(BI2&lt;&gt;-999,SQRT(BI2*(100-BI2)/$G2),-999)</f>
        <v>-999</v>
      </c>
      <c r="BL2" s="44">
        <v>-999</v>
      </c>
      <c r="BM2" s="44">
        <v>-999</v>
      </c>
      <c r="BN2" s="44">
        <v>-999</v>
      </c>
      <c r="BO2" s="44">
        <v>-999</v>
      </c>
      <c r="BP2" s="44">
        <v>-999</v>
      </c>
      <c r="BQ2" s="81">
        <v>-999</v>
      </c>
      <c r="BR2" s="81">
        <f t="shared" ref="BR2:BR33" si="15">IF(BQ2&lt;&gt;-999,(BQ2/100)*$G2,-999)</f>
        <v>-999</v>
      </c>
      <c r="BS2" s="55">
        <f t="shared" ref="BS2:BS33" si="16">IF(BQ2&lt;&gt;-999,SQRT(BQ2*(100-BQ2)/$G2),-999)</f>
        <v>-999</v>
      </c>
      <c r="BT2" s="29" t="s">
        <v>192</v>
      </c>
      <c r="BU2" s="55">
        <v>-999</v>
      </c>
      <c r="BV2" s="55">
        <f t="shared" ref="BV2:BV33" si="17">IF(BU2&lt;&gt;-999,SQRT(BU2*(100-BU2)/$G2),-999)</f>
        <v>-999</v>
      </c>
      <c r="BW2" s="55">
        <v>-999</v>
      </c>
      <c r="BX2" s="55">
        <f t="shared" ref="BX2:BX33" si="18">IF(BW2&lt;&gt;-999,SQRT(BW2*(100-BW2)/$G2),-999)</f>
        <v>-999</v>
      </c>
      <c r="BY2" s="55">
        <v>3.1</v>
      </c>
      <c r="BZ2" s="55">
        <f t="shared" ref="BZ2:BZ33" si="19">IF(BY2&lt;&gt;-999,SQRT(BY2*(100-BY2)/$G2),-999)</f>
        <v>4.010553286173734E-2</v>
      </c>
      <c r="CA2" s="55">
        <v>0.5</v>
      </c>
      <c r="CB2" s="55">
        <f t="shared" ref="CB2:CB33" si="20">IF(CA2&lt;&gt;-999,SQRT(CA2*(100-CA2)/$G2),-999)</f>
        <v>1.6321425915702976E-2</v>
      </c>
      <c r="CC2" s="55">
        <v>0.5</v>
      </c>
      <c r="CD2" s="55">
        <f t="shared" ref="CD2:CD33" si="21">IF(CC2&lt;&gt;-999,SQRT(CC2*(100-CC2)/$G2),-999)</f>
        <v>1.6321425915702976E-2</v>
      </c>
      <c r="CE2" s="55">
        <v>4.0999999999999996</v>
      </c>
      <c r="CF2" s="9" t="s">
        <v>555</v>
      </c>
      <c r="CG2" s="7" t="b">
        <v>0</v>
      </c>
      <c r="CH2" s="10" t="b">
        <v>0</v>
      </c>
    </row>
    <row r="3" spans="1:86" ht="21" customHeight="1">
      <c r="A3" s="10" t="s">
        <v>595</v>
      </c>
      <c r="B3" s="23" t="s">
        <v>412</v>
      </c>
      <c r="C3" s="23" t="s">
        <v>175</v>
      </c>
      <c r="D3" s="24" t="s">
        <v>179</v>
      </c>
      <c r="E3" s="23" t="s">
        <v>68</v>
      </c>
      <c r="F3">
        <v>1</v>
      </c>
      <c r="G3" s="23">
        <v>2091</v>
      </c>
      <c r="H3" s="23" t="s">
        <v>45</v>
      </c>
      <c r="I3" s="23" t="s">
        <v>392</v>
      </c>
      <c r="J3" t="s">
        <v>522</v>
      </c>
      <c r="K3"/>
      <c r="L3" s="43">
        <v>54.4</v>
      </c>
      <c r="M3" s="26">
        <v>39.299999999999997</v>
      </c>
      <c r="N3" s="26">
        <v>-999</v>
      </c>
      <c r="O3" s="26">
        <v>-999</v>
      </c>
      <c r="P3" s="26">
        <v>-999</v>
      </c>
      <c r="Q3" s="26">
        <v>-999</v>
      </c>
      <c r="R3" s="26">
        <v>82.2</v>
      </c>
      <c r="S3" s="96">
        <v>3.8</v>
      </c>
      <c r="T3" s="97" t="s">
        <v>185</v>
      </c>
      <c r="U3" s="98">
        <v>33.6</v>
      </c>
      <c r="V3" s="97" t="s">
        <v>48</v>
      </c>
      <c r="W3" s="98">
        <v>2.9</v>
      </c>
      <c r="X3" s="97" t="s">
        <v>65</v>
      </c>
      <c r="Y3" s="99">
        <v>13.3</v>
      </c>
      <c r="Z3" s="97" t="s">
        <v>69</v>
      </c>
      <c r="AA3" s="98">
        <v>-999</v>
      </c>
      <c r="AB3" s="97">
        <v>-999</v>
      </c>
      <c r="AC3" s="63">
        <v>12</v>
      </c>
      <c r="AD3" s="131">
        <f>AC3/28</f>
        <v>0.42857142857142855</v>
      </c>
      <c r="AE3" s="144">
        <f t="shared" si="0"/>
        <v>0</v>
      </c>
      <c r="AF3" s="146">
        <f t="shared" si="1"/>
        <v>0.28285714285714286</v>
      </c>
      <c r="AG3" s="28" t="b">
        <v>0</v>
      </c>
      <c r="AH3" s="28" t="b">
        <v>0</v>
      </c>
      <c r="AI3" s="28" t="b">
        <v>0</v>
      </c>
      <c r="AJ3" s="28" t="b">
        <v>0</v>
      </c>
      <c r="AK3" s="71" t="s">
        <v>190</v>
      </c>
      <c r="AL3" s="48">
        <v>-999</v>
      </c>
      <c r="AM3" s="44">
        <f t="shared" si="2"/>
        <v>-999</v>
      </c>
      <c r="AN3" s="149">
        <f t="shared" ref="AN3:AN34" si="22">IF(AL3&lt;&gt;-999,(AL3/100)*G3,-999)</f>
        <v>-999</v>
      </c>
      <c r="AO3" s="48">
        <v>-999</v>
      </c>
      <c r="AP3" s="44">
        <f t="shared" si="3"/>
        <v>-999</v>
      </c>
      <c r="AQ3" s="149">
        <f t="shared" si="4"/>
        <v>-999</v>
      </c>
      <c r="AR3" s="48">
        <v>4.3</v>
      </c>
      <c r="AS3" s="44">
        <f t="shared" si="5"/>
        <v>0.44362210707773775</v>
      </c>
      <c r="AT3" s="149">
        <f t="shared" si="6"/>
        <v>89.912999999999997</v>
      </c>
      <c r="AU3" s="48">
        <v>0.05</v>
      </c>
      <c r="AV3" s="44">
        <f t="shared" si="7"/>
        <v>4.8887675158476966E-2</v>
      </c>
      <c r="AW3" s="149">
        <f t="shared" si="8"/>
        <v>1.0455000000000001</v>
      </c>
      <c r="AX3" s="48">
        <v>0</v>
      </c>
      <c r="AY3" s="44">
        <f t="shared" si="9"/>
        <v>0</v>
      </c>
      <c r="AZ3" s="149">
        <f t="shared" si="10"/>
        <v>0</v>
      </c>
      <c r="BA3" s="75">
        <v>6.3</v>
      </c>
      <c r="BB3" s="44">
        <f t="shared" si="11"/>
        <v>0.53132842909972722</v>
      </c>
      <c r="BC3" s="55">
        <f t="shared" si="12"/>
        <v>131.733</v>
      </c>
      <c r="BD3" s="55">
        <v>-999</v>
      </c>
      <c r="BE3" s="48">
        <v>-999</v>
      </c>
      <c r="BF3" s="48">
        <v>-999</v>
      </c>
      <c r="BG3" s="48">
        <v>-999</v>
      </c>
      <c r="BH3" s="48">
        <v>-999</v>
      </c>
      <c r="BI3" s="85">
        <v>-999</v>
      </c>
      <c r="BJ3" s="81">
        <f t="shared" si="13"/>
        <v>-999</v>
      </c>
      <c r="BK3" s="44">
        <f t="shared" si="14"/>
        <v>-999</v>
      </c>
      <c r="BL3" s="136">
        <v>-999</v>
      </c>
      <c r="BM3" s="48">
        <v>-999</v>
      </c>
      <c r="BN3" s="48">
        <v>-999</v>
      </c>
      <c r="BO3" s="48">
        <v>-999</v>
      </c>
      <c r="BP3" s="48">
        <v>-999</v>
      </c>
      <c r="BQ3" s="85">
        <v>-999</v>
      </c>
      <c r="BR3" s="81">
        <f t="shared" si="15"/>
        <v>-999</v>
      </c>
      <c r="BS3" s="44">
        <f t="shared" si="16"/>
        <v>-999</v>
      </c>
      <c r="BT3" s="71">
        <v>-999</v>
      </c>
      <c r="BU3" s="48">
        <v>-999</v>
      </c>
      <c r="BV3" s="44">
        <f t="shared" si="17"/>
        <v>-999</v>
      </c>
      <c r="BW3" s="48">
        <v>-999</v>
      </c>
      <c r="BX3" s="44">
        <f t="shared" si="18"/>
        <v>-999</v>
      </c>
      <c r="BY3" s="48">
        <v>-999</v>
      </c>
      <c r="BZ3" s="44">
        <f t="shared" si="19"/>
        <v>-999</v>
      </c>
      <c r="CA3" s="48">
        <v>-999</v>
      </c>
      <c r="CB3" s="44">
        <f t="shared" si="20"/>
        <v>-999</v>
      </c>
      <c r="CC3" s="48">
        <v>-999</v>
      </c>
      <c r="CD3" s="44">
        <f t="shared" si="21"/>
        <v>-999</v>
      </c>
      <c r="CE3" s="55">
        <v>-999</v>
      </c>
      <c r="CF3" s="129" t="s">
        <v>555</v>
      </c>
      <c r="CG3" s="10" t="b">
        <v>0</v>
      </c>
      <c r="CH3" s="7" t="b">
        <v>0</v>
      </c>
    </row>
    <row r="4" spans="1:86" ht="21" customHeight="1">
      <c r="A4" s="10" t="s">
        <v>660</v>
      </c>
      <c r="B4" s="23" t="s">
        <v>413</v>
      </c>
      <c r="C4" s="7" t="s">
        <v>26</v>
      </c>
      <c r="D4" s="8" t="s">
        <v>27</v>
      </c>
      <c r="E4" s="7" t="s">
        <v>28</v>
      </c>
      <c r="F4">
        <v>2</v>
      </c>
      <c r="G4" s="7">
        <v>3689</v>
      </c>
      <c r="H4" s="7" t="s">
        <v>29</v>
      </c>
      <c r="I4" s="7" t="s">
        <v>393</v>
      </c>
      <c r="J4" t="s">
        <v>522</v>
      </c>
      <c r="K4"/>
      <c r="L4" s="44">
        <v>50</v>
      </c>
      <c r="M4" s="9">
        <v>44.7</v>
      </c>
      <c r="N4" s="9">
        <v>-999</v>
      </c>
      <c r="O4" s="9">
        <v>27.1</v>
      </c>
      <c r="P4" s="9">
        <v>-999</v>
      </c>
      <c r="Q4" s="9">
        <v>-999</v>
      </c>
      <c r="R4" s="9">
        <v>-999</v>
      </c>
      <c r="S4" s="100">
        <v>6.3</v>
      </c>
      <c r="T4" s="101" t="s">
        <v>30</v>
      </c>
      <c r="U4" s="102">
        <v>16.3</v>
      </c>
      <c r="V4" s="101" t="s">
        <v>31</v>
      </c>
      <c r="W4" s="102">
        <v>-999</v>
      </c>
      <c r="X4" s="101" t="s">
        <v>32</v>
      </c>
      <c r="Y4" s="102">
        <v>23</v>
      </c>
      <c r="Z4" s="101">
        <v>-999</v>
      </c>
      <c r="AA4" s="102">
        <v>20.7</v>
      </c>
      <c r="AB4" s="101" t="s">
        <v>33</v>
      </c>
      <c r="AC4" s="64">
        <v>19</v>
      </c>
      <c r="AD4" s="131">
        <f>AC4/28</f>
        <v>0.6785714285714286</v>
      </c>
      <c r="AE4" s="144">
        <f t="shared" si="0"/>
        <v>0</v>
      </c>
      <c r="AF4" s="146">
        <f t="shared" si="1"/>
        <v>0.4478571428571429</v>
      </c>
      <c r="AG4" s="9" t="b">
        <v>0</v>
      </c>
      <c r="AH4" s="9" t="b">
        <v>0</v>
      </c>
      <c r="AI4" s="9" t="b">
        <v>0</v>
      </c>
      <c r="AJ4" s="9" t="b">
        <v>0</v>
      </c>
      <c r="AK4" s="71" t="s">
        <v>190</v>
      </c>
      <c r="AL4" s="45">
        <v>-999</v>
      </c>
      <c r="AM4" s="44">
        <f t="shared" si="2"/>
        <v>-999</v>
      </c>
      <c r="AN4" s="149">
        <f t="shared" si="22"/>
        <v>-999</v>
      </c>
      <c r="AO4" s="45">
        <v>-999</v>
      </c>
      <c r="AP4" s="44">
        <f t="shared" si="3"/>
        <v>-999</v>
      </c>
      <c r="AQ4" s="149">
        <f t="shared" si="4"/>
        <v>-999</v>
      </c>
      <c r="AR4" s="45">
        <v>-999</v>
      </c>
      <c r="AS4" s="44">
        <f t="shared" si="5"/>
        <v>-999</v>
      </c>
      <c r="AT4" s="149">
        <f t="shared" si="6"/>
        <v>-999</v>
      </c>
      <c r="AU4" s="45">
        <v>-999</v>
      </c>
      <c r="AV4" s="44">
        <f t="shared" si="7"/>
        <v>-999</v>
      </c>
      <c r="AW4" s="149">
        <f t="shared" si="8"/>
        <v>-999</v>
      </c>
      <c r="AX4" s="45">
        <v>-999</v>
      </c>
      <c r="AY4" s="44">
        <f t="shared" si="9"/>
        <v>-999</v>
      </c>
      <c r="AZ4" s="149">
        <f t="shared" si="10"/>
        <v>-999</v>
      </c>
      <c r="BA4" s="76">
        <v>13.4</v>
      </c>
      <c r="BB4" s="44">
        <f t="shared" si="11"/>
        <v>0.56086329306259197</v>
      </c>
      <c r="BC4" s="55">
        <f t="shared" si="12"/>
        <v>494.32600000000002</v>
      </c>
      <c r="BD4" s="44">
        <v>-999</v>
      </c>
      <c r="BE4" s="45">
        <v>-999</v>
      </c>
      <c r="BF4" s="45">
        <v>-999</v>
      </c>
      <c r="BG4" s="45">
        <v>-999</v>
      </c>
      <c r="BH4" s="45">
        <v>-999</v>
      </c>
      <c r="BI4" s="76">
        <v>15.4</v>
      </c>
      <c r="BJ4" s="81">
        <f t="shared" si="13"/>
        <v>568.10599999999999</v>
      </c>
      <c r="BK4" s="44">
        <f t="shared" si="14"/>
        <v>0.59428013634598953</v>
      </c>
      <c r="BL4" s="137">
        <v>-999</v>
      </c>
      <c r="BM4" s="45">
        <v>-999</v>
      </c>
      <c r="BN4" s="45">
        <v>-999</v>
      </c>
      <c r="BO4" s="45">
        <v>-999</v>
      </c>
      <c r="BP4" s="45">
        <v>-999</v>
      </c>
      <c r="BQ4" s="76">
        <v>13.4</v>
      </c>
      <c r="BR4" s="81">
        <f t="shared" si="15"/>
        <v>494.32600000000002</v>
      </c>
      <c r="BS4" s="44">
        <f t="shared" si="16"/>
        <v>0.56086329306259197</v>
      </c>
      <c r="BT4" s="71">
        <v>-999</v>
      </c>
      <c r="BU4" s="48">
        <v>-999</v>
      </c>
      <c r="BV4" s="44">
        <f t="shared" si="17"/>
        <v>-999</v>
      </c>
      <c r="BW4" s="48">
        <v>-999</v>
      </c>
      <c r="BX4" s="44">
        <f t="shared" si="18"/>
        <v>-999</v>
      </c>
      <c r="BY4" s="48">
        <v>-999</v>
      </c>
      <c r="BZ4" s="44">
        <f t="shared" si="19"/>
        <v>-999</v>
      </c>
      <c r="CA4" s="48">
        <v>-999</v>
      </c>
      <c r="CB4" s="44">
        <f t="shared" si="20"/>
        <v>-999</v>
      </c>
      <c r="CC4" s="48">
        <v>-999</v>
      </c>
      <c r="CD4" s="44">
        <f t="shared" si="21"/>
        <v>-999</v>
      </c>
      <c r="CE4" s="55">
        <v>-999</v>
      </c>
      <c r="CF4" s="129" t="s">
        <v>556</v>
      </c>
      <c r="CG4" s="10" t="b">
        <v>1</v>
      </c>
      <c r="CH4" s="7" t="b">
        <v>0</v>
      </c>
    </row>
    <row r="5" spans="1:86" ht="21" customHeight="1">
      <c r="A5" s="10" t="s">
        <v>661</v>
      </c>
      <c r="B5" s="23" t="s">
        <v>414</v>
      </c>
      <c r="C5" s="7" t="s">
        <v>70</v>
      </c>
      <c r="D5" s="11">
        <v>2009</v>
      </c>
      <c r="E5" s="10" t="s">
        <v>71</v>
      </c>
      <c r="F5">
        <v>3</v>
      </c>
      <c r="G5" s="10">
        <v>1400</v>
      </c>
      <c r="H5" s="10" t="s">
        <v>45</v>
      </c>
      <c r="I5" s="10" t="s">
        <v>394</v>
      </c>
      <c r="J5" t="s">
        <v>523</v>
      </c>
      <c r="K5"/>
      <c r="L5" s="45">
        <v>68</v>
      </c>
      <c r="M5" s="12">
        <v>52</v>
      </c>
      <c r="N5" s="12">
        <v>65</v>
      </c>
      <c r="O5" s="12">
        <v>26</v>
      </c>
      <c r="P5" s="12">
        <v>-999</v>
      </c>
      <c r="Q5" s="12">
        <v>-999</v>
      </c>
      <c r="R5" s="12">
        <v>70.099999999999994</v>
      </c>
      <c r="S5" s="121">
        <v>3.4000000000000004</v>
      </c>
      <c r="T5" s="101" t="s">
        <v>41</v>
      </c>
      <c r="U5" s="102">
        <v>13.700000000000001</v>
      </c>
      <c r="V5" s="101" t="s">
        <v>47</v>
      </c>
      <c r="W5" s="102">
        <v>16.2</v>
      </c>
      <c r="X5" s="101">
        <v>-999</v>
      </c>
      <c r="Y5" s="102">
        <v>-999</v>
      </c>
      <c r="Z5" s="101">
        <v>-999</v>
      </c>
      <c r="AA5" s="102">
        <v>-999</v>
      </c>
      <c r="AB5" s="101">
        <v>-999</v>
      </c>
      <c r="AC5" s="64">
        <v>14</v>
      </c>
      <c r="AD5" s="131">
        <f>AC5/28</f>
        <v>0.5</v>
      </c>
      <c r="AE5" s="144">
        <f t="shared" si="0"/>
        <v>0</v>
      </c>
      <c r="AF5" s="146">
        <f t="shared" si="1"/>
        <v>0.33</v>
      </c>
      <c r="AG5" s="9" t="b">
        <v>0</v>
      </c>
      <c r="AH5" s="9" t="b">
        <v>0</v>
      </c>
      <c r="AI5" s="9" t="b">
        <v>0</v>
      </c>
      <c r="AJ5" s="9" t="b">
        <v>0</v>
      </c>
      <c r="AK5" s="71" t="s">
        <v>190</v>
      </c>
      <c r="AL5" s="45">
        <v>-999</v>
      </c>
      <c r="AM5" s="44">
        <f t="shared" si="2"/>
        <v>-999</v>
      </c>
      <c r="AN5" s="149">
        <f t="shared" si="22"/>
        <v>-999</v>
      </c>
      <c r="AO5" s="45">
        <v>-999</v>
      </c>
      <c r="AP5" s="44">
        <f t="shared" si="3"/>
        <v>-999</v>
      </c>
      <c r="AQ5" s="149">
        <f t="shared" si="4"/>
        <v>-999</v>
      </c>
      <c r="AR5" s="45">
        <v>-999</v>
      </c>
      <c r="AS5" s="44">
        <f t="shared" si="5"/>
        <v>-999</v>
      </c>
      <c r="AT5" s="149">
        <f t="shared" si="6"/>
        <v>-999</v>
      </c>
      <c r="AU5" s="45">
        <v>-999</v>
      </c>
      <c r="AV5" s="44">
        <f t="shared" si="7"/>
        <v>-999</v>
      </c>
      <c r="AW5" s="149">
        <f t="shared" si="8"/>
        <v>-999</v>
      </c>
      <c r="AX5" s="45">
        <v>-999</v>
      </c>
      <c r="AY5" s="44">
        <f t="shared" si="9"/>
        <v>-999</v>
      </c>
      <c r="AZ5" s="149">
        <f t="shared" si="10"/>
        <v>-999</v>
      </c>
      <c r="BA5" s="81">
        <v>4.7</v>
      </c>
      <c r="BB5" s="44">
        <f t="shared" si="11"/>
        <v>0.56562860101458301</v>
      </c>
      <c r="BC5" s="55">
        <f t="shared" si="12"/>
        <v>65.8</v>
      </c>
      <c r="BD5" s="44">
        <v>-999</v>
      </c>
      <c r="BE5" s="45">
        <v>-999</v>
      </c>
      <c r="BF5" s="45">
        <v>-999</v>
      </c>
      <c r="BG5" s="45">
        <v>-999</v>
      </c>
      <c r="BH5" s="45">
        <v>-999</v>
      </c>
      <c r="BI5" s="81">
        <v>1.8000000000000003</v>
      </c>
      <c r="BJ5" s="81">
        <f t="shared" si="13"/>
        <v>25.200000000000003</v>
      </c>
      <c r="BK5" s="44">
        <f t="shared" si="14"/>
        <v>0.35532681134012795</v>
      </c>
      <c r="BL5" s="137">
        <v>-999</v>
      </c>
      <c r="BM5" s="45">
        <v>-999</v>
      </c>
      <c r="BN5" s="45">
        <v>-999</v>
      </c>
      <c r="BO5" s="45">
        <v>-999</v>
      </c>
      <c r="BP5" s="45">
        <v>-999</v>
      </c>
      <c r="BQ5" s="81">
        <v>6.1</v>
      </c>
      <c r="BR5" s="81">
        <f t="shared" si="15"/>
        <v>85.399999999999991</v>
      </c>
      <c r="BS5" s="44">
        <f t="shared" si="16"/>
        <v>0.6396371739398159</v>
      </c>
      <c r="BT5" s="71">
        <v>-999</v>
      </c>
      <c r="BU5" s="48">
        <v>-999</v>
      </c>
      <c r="BV5" s="44">
        <f t="shared" si="17"/>
        <v>-999</v>
      </c>
      <c r="BW5" s="48">
        <v>-999</v>
      </c>
      <c r="BX5" s="44">
        <f t="shared" si="18"/>
        <v>-999</v>
      </c>
      <c r="BY5" s="48">
        <v>-999</v>
      </c>
      <c r="BZ5" s="44">
        <f t="shared" si="19"/>
        <v>-999</v>
      </c>
      <c r="CA5" s="48">
        <v>-999</v>
      </c>
      <c r="CB5" s="44">
        <f t="shared" si="20"/>
        <v>-999</v>
      </c>
      <c r="CC5" s="48">
        <v>-999</v>
      </c>
      <c r="CD5" s="44">
        <f t="shared" si="21"/>
        <v>-999</v>
      </c>
      <c r="CE5" s="55">
        <v>-999</v>
      </c>
      <c r="CF5" s="129" t="s">
        <v>555</v>
      </c>
      <c r="CG5" s="10" t="b">
        <v>0</v>
      </c>
      <c r="CH5" s="10" t="b">
        <v>1</v>
      </c>
    </row>
    <row r="6" spans="1:86" ht="21" customHeight="1">
      <c r="A6" s="32" t="s">
        <v>596</v>
      </c>
      <c r="B6" s="25" t="s">
        <v>458</v>
      </c>
      <c r="C6" s="84" t="s">
        <v>191</v>
      </c>
      <c r="D6" s="83">
        <v>2007</v>
      </c>
      <c r="E6" s="84" t="s">
        <v>196</v>
      </c>
      <c r="F6">
        <v>4</v>
      </c>
      <c r="G6" s="84">
        <v>1098</v>
      </c>
      <c r="H6" s="84" t="s">
        <v>29</v>
      </c>
      <c r="I6" s="84" t="s">
        <v>193</v>
      </c>
      <c r="J6" t="s">
        <v>527</v>
      </c>
      <c r="K6"/>
      <c r="L6" s="55">
        <v>55.1</v>
      </c>
      <c r="M6" s="29">
        <v>-999</v>
      </c>
      <c r="N6" s="29">
        <v>-999</v>
      </c>
      <c r="O6" s="29">
        <v>-999</v>
      </c>
      <c r="P6" s="29">
        <v>-999</v>
      </c>
      <c r="Q6" s="29">
        <v>-999</v>
      </c>
      <c r="R6" s="29">
        <v>89.7</v>
      </c>
      <c r="S6" s="96">
        <v>7.8</v>
      </c>
      <c r="T6" s="120" t="s">
        <v>195</v>
      </c>
      <c r="U6" s="119">
        <v>-999</v>
      </c>
      <c r="V6" s="120">
        <v>-999</v>
      </c>
      <c r="W6" s="119">
        <v>13.2</v>
      </c>
      <c r="X6" s="120" t="s">
        <v>194</v>
      </c>
      <c r="Y6" s="119">
        <v>-999</v>
      </c>
      <c r="Z6" s="120">
        <v>-999</v>
      </c>
      <c r="AA6" s="119">
        <f>20.9+26.5</f>
        <v>47.4</v>
      </c>
      <c r="AB6" s="120" t="s">
        <v>137</v>
      </c>
      <c r="AC6" s="63">
        <v>25</v>
      </c>
      <c r="AD6" s="132">
        <v>0.8928571428571429</v>
      </c>
      <c r="AE6" s="144">
        <f t="shared" si="0"/>
        <v>0.5</v>
      </c>
      <c r="AF6" s="146">
        <f t="shared" si="1"/>
        <v>0.75928571428571434</v>
      </c>
      <c r="AG6" s="29" t="b">
        <v>0</v>
      </c>
      <c r="AH6" s="29" t="b">
        <v>1</v>
      </c>
      <c r="AI6" s="29" t="b">
        <v>0</v>
      </c>
      <c r="AJ6" s="29" t="b">
        <v>1</v>
      </c>
      <c r="AK6" s="73" t="s">
        <v>190</v>
      </c>
      <c r="AL6" s="55">
        <v>-999</v>
      </c>
      <c r="AM6" s="55">
        <f t="shared" si="2"/>
        <v>-999</v>
      </c>
      <c r="AN6" s="149">
        <f t="shared" si="22"/>
        <v>-999</v>
      </c>
      <c r="AO6" s="55">
        <v>-999</v>
      </c>
      <c r="AP6" s="55">
        <f t="shared" si="3"/>
        <v>-999</v>
      </c>
      <c r="AQ6" s="149">
        <f t="shared" si="4"/>
        <v>-999</v>
      </c>
      <c r="AR6" s="55">
        <f>11.8+2.7</f>
        <v>14.5</v>
      </c>
      <c r="AS6" s="55">
        <f t="shared" si="5"/>
        <v>1.0625904011686429</v>
      </c>
      <c r="AT6" s="149">
        <f t="shared" si="6"/>
        <v>159.20999999999998</v>
      </c>
      <c r="AU6" s="55">
        <v>0.4</v>
      </c>
      <c r="AV6" s="55">
        <f t="shared" si="7"/>
        <v>0.19048399671747882</v>
      </c>
      <c r="AW6" s="149">
        <f t="shared" si="8"/>
        <v>4.3920000000000003</v>
      </c>
      <c r="AX6" s="55">
        <v>0</v>
      </c>
      <c r="AY6" s="55">
        <f t="shared" si="9"/>
        <v>0</v>
      </c>
      <c r="AZ6" s="149">
        <f t="shared" si="10"/>
        <v>0</v>
      </c>
      <c r="BA6" s="75">
        <v>14.9</v>
      </c>
      <c r="BB6" s="55">
        <f t="shared" si="11"/>
        <v>1.0746245161159886</v>
      </c>
      <c r="BC6" s="55">
        <f t="shared" si="12"/>
        <v>163.602</v>
      </c>
      <c r="BD6" s="55">
        <v>-999</v>
      </c>
      <c r="BE6" s="55">
        <v>-999</v>
      </c>
      <c r="BF6" s="55">
        <v>-999</v>
      </c>
      <c r="BG6" s="55">
        <v>-999</v>
      </c>
      <c r="BH6" s="55">
        <v>-999</v>
      </c>
      <c r="BI6" s="75">
        <v>-999</v>
      </c>
      <c r="BJ6" s="81">
        <f t="shared" si="13"/>
        <v>-999</v>
      </c>
      <c r="BK6" s="55">
        <f t="shared" si="14"/>
        <v>-999</v>
      </c>
      <c r="BL6" s="136">
        <v>-999</v>
      </c>
      <c r="BM6" s="55">
        <v>-999</v>
      </c>
      <c r="BN6" s="55">
        <v>-999</v>
      </c>
      <c r="BO6" s="55">
        <v>-999</v>
      </c>
      <c r="BP6" s="55">
        <v>-999</v>
      </c>
      <c r="BQ6" s="75">
        <v>-999</v>
      </c>
      <c r="BR6" s="81">
        <f t="shared" si="15"/>
        <v>-999</v>
      </c>
      <c r="BS6" s="55">
        <f t="shared" si="16"/>
        <v>-999</v>
      </c>
      <c r="BT6" s="73" t="s">
        <v>192</v>
      </c>
      <c r="BU6" s="55">
        <v>-999</v>
      </c>
      <c r="BV6" s="55">
        <f t="shared" si="17"/>
        <v>-999</v>
      </c>
      <c r="BW6" s="55">
        <v>-999</v>
      </c>
      <c r="BX6" s="55">
        <f t="shared" si="18"/>
        <v>-999</v>
      </c>
      <c r="BY6" s="55">
        <f>9.2+2.3</f>
        <v>11.5</v>
      </c>
      <c r="BZ6" s="55">
        <f t="shared" si="19"/>
        <v>0.96276298656835102</v>
      </c>
      <c r="CA6" s="55">
        <v>0.4</v>
      </c>
      <c r="CB6" s="55">
        <f t="shared" si="20"/>
        <v>0.19048399671747882</v>
      </c>
      <c r="CC6" s="55">
        <v>0</v>
      </c>
      <c r="CD6" s="55">
        <f t="shared" si="21"/>
        <v>0</v>
      </c>
      <c r="CE6" s="55">
        <v>11.9</v>
      </c>
      <c r="CF6" s="155" t="s">
        <v>555</v>
      </c>
      <c r="CG6" s="10" t="b">
        <v>0</v>
      </c>
      <c r="CH6" s="10" t="b">
        <v>0</v>
      </c>
    </row>
    <row r="7" spans="1:86" ht="21" customHeight="1">
      <c r="A7" s="7" t="s">
        <v>597</v>
      </c>
      <c r="B7" s="25" t="s">
        <v>459</v>
      </c>
      <c r="C7" s="7" t="s">
        <v>708</v>
      </c>
      <c r="D7" s="8" t="s">
        <v>534</v>
      </c>
      <c r="E7" s="7" t="s">
        <v>133</v>
      </c>
      <c r="F7" s="59">
        <v>2</v>
      </c>
      <c r="G7" s="7">
        <v>3430</v>
      </c>
      <c r="H7" s="7" t="s">
        <v>29</v>
      </c>
      <c r="I7" s="30" t="s">
        <v>535</v>
      </c>
      <c r="J7" s="7" t="s">
        <v>527</v>
      </c>
      <c r="K7" s="59" t="s">
        <v>528</v>
      </c>
      <c r="L7" s="44">
        <v>63.7</v>
      </c>
      <c r="M7" s="9">
        <v>54.3</v>
      </c>
      <c r="N7" s="9">
        <v>-999</v>
      </c>
      <c r="O7" s="9">
        <v>-999</v>
      </c>
      <c r="P7" s="9">
        <v>-999</v>
      </c>
      <c r="Q7" s="9">
        <v>-999</v>
      </c>
      <c r="R7" s="9">
        <v>97.2</v>
      </c>
      <c r="S7" s="100">
        <v>17.899999999999999</v>
      </c>
      <c r="T7" s="122" t="s">
        <v>262</v>
      </c>
      <c r="U7" s="121">
        <v>62.6</v>
      </c>
      <c r="V7" s="122" t="s">
        <v>261</v>
      </c>
      <c r="W7" s="121">
        <v>12.5</v>
      </c>
      <c r="X7" s="122" t="s">
        <v>43</v>
      </c>
      <c r="Y7" s="121">
        <v>85</v>
      </c>
      <c r="Z7" s="122" t="s">
        <v>69</v>
      </c>
      <c r="AA7" s="121">
        <v>-999</v>
      </c>
      <c r="AB7" s="122">
        <v>-999</v>
      </c>
      <c r="AC7" s="64">
        <v>21</v>
      </c>
      <c r="AD7" s="131">
        <v>0.75</v>
      </c>
      <c r="AE7" s="144">
        <f t="shared" si="0"/>
        <v>0</v>
      </c>
      <c r="AF7" s="146">
        <f t="shared" si="1"/>
        <v>0.495</v>
      </c>
      <c r="AG7" s="34" t="b">
        <v>0</v>
      </c>
      <c r="AH7" s="34" t="b">
        <v>0</v>
      </c>
      <c r="AI7" s="34" t="b">
        <v>0</v>
      </c>
      <c r="AJ7" s="34" t="b">
        <v>0</v>
      </c>
      <c r="AK7" s="72" t="s">
        <v>190</v>
      </c>
      <c r="AL7" s="56">
        <v>-999</v>
      </c>
      <c r="AM7" s="55">
        <f t="shared" si="2"/>
        <v>-999</v>
      </c>
      <c r="AN7" s="149">
        <f t="shared" si="22"/>
        <v>-999</v>
      </c>
      <c r="AO7" s="56">
        <v>-999</v>
      </c>
      <c r="AP7" s="55">
        <f t="shared" si="3"/>
        <v>-999</v>
      </c>
      <c r="AQ7" s="149">
        <f t="shared" si="4"/>
        <v>-999</v>
      </c>
      <c r="AR7" s="56">
        <v>-999</v>
      </c>
      <c r="AS7" s="55">
        <f t="shared" si="5"/>
        <v>-999</v>
      </c>
      <c r="AT7" s="149">
        <f t="shared" si="6"/>
        <v>-999</v>
      </c>
      <c r="AU7" s="56">
        <v>-999</v>
      </c>
      <c r="AV7" s="55">
        <f t="shared" si="7"/>
        <v>-999</v>
      </c>
      <c r="AW7" s="149">
        <f t="shared" si="8"/>
        <v>-999</v>
      </c>
      <c r="AX7" s="56">
        <v>-999</v>
      </c>
      <c r="AY7" s="55">
        <f t="shared" si="9"/>
        <v>-999</v>
      </c>
      <c r="AZ7" s="149">
        <f t="shared" si="10"/>
        <v>-999</v>
      </c>
      <c r="BA7" s="77">
        <v>20</v>
      </c>
      <c r="BB7" s="55">
        <f t="shared" si="11"/>
        <v>0.68298777676251066</v>
      </c>
      <c r="BC7" s="55">
        <f t="shared" si="12"/>
        <v>686</v>
      </c>
      <c r="BD7" s="56">
        <v>-999</v>
      </c>
      <c r="BE7" s="56">
        <v>-999</v>
      </c>
      <c r="BF7" s="56">
        <v>-999</v>
      </c>
      <c r="BG7" s="56">
        <v>-999</v>
      </c>
      <c r="BH7" s="56">
        <v>-999</v>
      </c>
      <c r="BI7" s="77">
        <v>-999</v>
      </c>
      <c r="BJ7" s="81">
        <f t="shared" si="13"/>
        <v>-999</v>
      </c>
      <c r="BK7" s="55">
        <f t="shared" si="14"/>
        <v>-999</v>
      </c>
      <c r="BL7" s="138">
        <v>-999</v>
      </c>
      <c r="BM7" s="56">
        <v>-999</v>
      </c>
      <c r="BN7" s="56">
        <v>-999</v>
      </c>
      <c r="BO7" s="56">
        <v>-999</v>
      </c>
      <c r="BP7" s="56">
        <v>-999</v>
      </c>
      <c r="BQ7" s="77">
        <v>-999</v>
      </c>
      <c r="BR7" s="81">
        <f t="shared" si="15"/>
        <v>-999</v>
      </c>
      <c r="BS7" s="55">
        <f t="shared" si="16"/>
        <v>-999</v>
      </c>
      <c r="BT7" s="72">
        <v>-999</v>
      </c>
      <c r="BU7" s="56">
        <v>-999</v>
      </c>
      <c r="BV7" s="55">
        <f t="shared" si="17"/>
        <v>-999</v>
      </c>
      <c r="BW7" s="56">
        <v>-999</v>
      </c>
      <c r="BX7" s="55">
        <f t="shared" si="18"/>
        <v>-999</v>
      </c>
      <c r="BY7" s="56">
        <v>-999</v>
      </c>
      <c r="BZ7" s="55">
        <f t="shared" si="19"/>
        <v>-999</v>
      </c>
      <c r="CA7" s="56">
        <v>-999</v>
      </c>
      <c r="CB7" s="55">
        <f t="shared" si="20"/>
        <v>-999</v>
      </c>
      <c r="CC7" s="56">
        <v>-999</v>
      </c>
      <c r="CD7" s="55">
        <f t="shared" si="21"/>
        <v>-999</v>
      </c>
      <c r="CE7" s="56">
        <v>-999</v>
      </c>
      <c r="CF7" s="129" t="s">
        <v>556</v>
      </c>
      <c r="CG7" s="10" t="b">
        <v>0</v>
      </c>
      <c r="CH7" s="10" t="b">
        <v>0</v>
      </c>
    </row>
    <row r="8" spans="1:86" ht="21" customHeight="1">
      <c r="A8" s="32" t="s">
        <v>598</v>
      </c>
      <c r="B8" s="23" t="s">
        <v>460</v>
      </c>
      <c r="C8" s="32" t="s">
        <v>197</v>
      </c>
      <c r="D8" s="36" t="s">
        <v>372</v>
      </c>
      <c r="E8" s="19" t="s">
        <v>373</v>
      </c>
      <c r="F8">
        <v>8</v>
      </c>
      <c r="G8" s="19">
        <v>27894</v>
      </c>
      <c r="H8" s="19" t="s">
        <v>29</v>
      </c>
      <c r="I8" s="19" t="s">
        <v>233</v>
      </c>
      <c r="J8" t="s">
        <v>531</v>
      </c>
      <c r="K8"/>
      <c r="L8" s="47">
        <v>66</v>
      </c>
      <c r="M8" s="37">
        <v>55.5</v>
      </c>
      <c r="N8" s="37">
        <v>-999</v>
      </c>
      <c r="O8" s="37">
        <v>-999</v>
      </c>
      <c r="P8" s="37">
        <v>-999</v>
      </c>
      <c r="Q8" s="37">
        <v>-999</v>
      </c>
      <c r="R8" s="37">
        <v>79.56</v>
      </c>
      <c r="S8" s="111">
        <v>-999</v>
      </c>
      <c r="T8" s="112">
        <v>-999</v>
      </c>
      <c r="U8" s="113">
        <v>-999</v>
      </c>
      <c r="V8" s="112">
        <v>-999</v>
      </c>
      <c r="W8" s="113">
        <v>-999</v>
      </c>
      <c r="X8" s="112">
        <v>-999</v>
      </c>
      <c r="Y8" s="113">
        <v>-999</v>
      </c>
      <c r="Z8" s="112">
        <v>-999</v>
      </c>
      <c r="AA8" s="113">
        <v>-999</v>
      </c>
      <c r="AB8" s="112">
        <v>-999</v>
      </c>
      <c r="AC8" s="64">
        <v>20</v>
      </c>
      <c r="AD8" s="131">
        <v>0.7142857142857143</v>
      </c>
      <c r="AE8" s="144">
        <f t="shared" si="0"/>
        <v>0.25</v>
      </c>
      <c r="AF8" s="146">
        <f t="shared" si="1"/>
        <v>0.55642857142857149</v>
      </c>
      <c r="AG8" s="29" t="b">
        <v>0</v>
      </c>
      <c r="AH8" s="29" t="b">
        <v>1</v>
      </c>
      <c r="AI8" s="29" t="b">
        <v>0</v>
      </c>
      <c r="AJ8" s="29" t="b">
        <v>0</v>
      </c>
      <c r="AK8" s="73" t="s">
        <v>190</v>
      </c>
      <c r="AL8" s="48">
        <v>-999</v>
      </c>
      <c r="AM8" s="55">
        <f t="shared" si="2"/>
        <v>-999</v>
      </c>
      <c r="AN8" s="149">
        <f t="shared" si="22"/>
        <v>-999</v>
      </c>
      <c r="AO8" s="48">
        <v>-999</v>
      </c>
      <c r="AP8" s="55">
        <f t="shared" si="3"/>
        <v>-999</v>
      </c>
      <c r="AQ8" s="149">
        <f t="shared" si="4"/>
        <v>-999</v>
      </c>
      <c r="AR8" s="48">
        <v>11.6</v>
      </c>
      <c r="AS8" s="55">
        <f t="shared" si="5"/>
        <v>0.19173426317745812</v>
      </c>
      <c r="AT8" s="149">
        <f t="shared" si="6"/>
        <v>3235.7039999999997</v>
      </c>
      <c r="AU8" s="48">
        <v>0.3</v>
      </c>
      <c r="AV8" s="55">
        <f t="shared" si="7"/>
        <v>3.2745589126283267E-2</v>
      </c>
      <c r="AW8" s="149">
        <f t="shared" si="8"/>
        <v>83.682000000000002</v>
      </c>
      <c r="AX8" s="48">
        <v>0.2</v>
      </c>
      <c r="AY8" s="55">
        <f t="shared" si="9"/>
        <v>2.6750066757984123E-2</v>
      </c>
      <c r="AZ8" s="149">
        <f t="shared" si="10"/>
        <v>55.788000000000004</v>
      </c>
      <c r="BA8" s="75">
        <v>12.1</v>
      </c>
      <c r="BB8" s="55">
        <f t="shared" si="11"/>
        <v>0.19526829059775819</v>
      </c>
      <c r="BC8" s="55">
        <f t="shared" si="12"/>
        <v>3375.174</v>
      </c>
      <c r="BD8" s="55">
        <v>-999</v>
      </c>
      <c r="BE8" s="48">
        <v>-999</v>
      </c>
      <c r="BF8" s="48">
        <v>-999</v>
      </c>
      <c r="BG8" s="48">
        <v>-999</v>
      </c>
      <c r="BH8" s="48">
        <v>-999</v>
      </c>
      <c r="BI8" s="75">
        <v>7.4</v>
      </c>
      <c r="BJ8" s="81">
        <f t="shared" si="13"/>
        <v>2064.1560000000004</v>
      </c>
      <c r="BK8" s="55">
        <f t="shared" si="14"/>
        <v>0.1567349879783887</v>
      </c>
      <c r="BL8" s="136">
        <v>-999</v>
      </c>
      <c r="BM8" s="48">
        <v>-999</v>
      </c>
      <c r="BN8" s="48">
        <v>-999</v>
      </c>
      <c r="BO8" s="48">
        <v>-999</v>
      </c>
      <c r="BP8" s="48">
        <v>-999</v>
      </c>
      <c r="BQ8" s="75">
        <v>14.5</v>
      </c>
      <c r="BR8" s="81">
        <f t="shared" si="15"/>
        <v>4044.6299999999997</v>
      </c>
      <c r="BS8" s="55">
        <f t="shared" si="16"/>
        <v>0.2108199277689474</v>
      </c>
      <c r="BT8" s="73">
        <v>-999</v>
      </c>
      <c r="BU8" s="48">
        <v>-999</v>
      </c>
      <c r="BV8" s="55">
        <f t="shared" si="17"/>
        <v>-999</v>
      </c>
      <c r="BW8" s="48">
        <v>-999</v>
      </c>
      <c r="BX8" s="55">
        <f t="shared" si="18"/>
        <v>-999</v>
      </c>
      <c r="BY8" s="48">
        <v>-999</v>
      </c>
      <c r="BZ8" s="55">
        <f t="shared" si="19"/>
        <v>-999</v>
      </c>
      <c r="CA8" s="48">
        <v>-999</v>
      </c>
      <c r="CB8" s="55">
        <f t="shared" si="20"/>
        <v>-999</v>
      </c>
      <c r="CC8" s="48">
        <v>-999</v>
      </c>
      <c r="CD8" s="55">
        <f t="shared" si="21"/>
        <v>-999</v>
      </c>
      <c r="CE8" s="55">
        <v>-999</v>
      </c>
      <c r="CF8" s="129" t="s">
        <v>555</v>
      </c>
      <c r="CG8" s="7" t="b">
        <v>0</v>
      </c>
      <c r="CH8" s="10" t="b">
        <v>0</v>
      </c>
    </row>
    <row r="9" spans="1:86" ht="21" customHeight="1">
      <c r="A9" s="32" t="s">
        <v>599</v>
      </c>
      <c r="B9" s="23" t="s">
        <v>461</v>
      </c>
      <c r="C9" s="10" t="s">
        <v>198</v>
      </c>
      <c r="D9" s="36" t="s">
        <v>376</v>
      </c>
      <c r="E9" s="19" t="s">
        <v>109</v>
      </c>
      <c r="F9">
        <v>4</v>
      </c>
      <c r="G9" s="19">
        <v>6799</v>
      </c>
      <c r="H9" s="19" t="s">
        <v>29</v>
      </c>
      <c r="I9" s="19" t="s">
        <v>374</v>
      </c>
      <c r="J9" t="s">
        <v>527</v>
      </c>
      <c r="K9"/>
      <c r="L9" s="47">
        <v>53.6</v>
      </c>
      <c r="M9" s="37">
        <v>71.900000000000006</v>
      </c>
      <c r="N9" s="37">
        <v>-999</v>
      </c>
      <c r="O9" s="37">
        <v>28.5</v>
      </c>
      <c r="P9" s="37">
        <v>143.19999999999999</v>
      </c>
      <c r="Q9" s="37">
        <v>80.599999999999994</v>
      </c>
      <c r="R9" s="37">
        <v>87.5</v>
      </c>
      <c r="S9" s="111">
        <v>27</v>
      </c>
      <c r="T9" s="112" t="s">
        <v>86</v>
      </c>
      <c r="U9" s="113">
        <v>72.900000000000006</v>
      </c>
      <c r="V9" s="112" t="s">
        <v>42</v>
      </c>
      <c r="W9" s="113">
        <v>-999</v>
      </c>
      <c r="X9" s="112">
        <v>-999</v>
      </c>
      <c r="Y9" s="113">
        <v>34.4</v>
      </c>
      <c r="Z9" s="112" t="s">
        <v>136</v>
      </c>
      <c r="AA9" s="113">
        <v>10.6</v>
      </c>
      <c r="AB9" s="112" t="s">
        <v>25</v>
      </c>
      <c r="AC9" s="64">
        <v>19</v>
      </c>
      <c r="AD9" s="131">
        <v>0.6785714285714286</v>
      </c>
      <c r="AE9" s="144">
        <f t="shared" si="0"/>
        <v>0</v>
      </c>
      <c r="AF9" s="146">
        <f t="shared" si="1"/>
        <v>0.4478571428571429</v>
      </c>
      <c r="AG9" s="29" t="b">
        <v>0</v>
      </c>
      <c r="AH9" s="29" t="b">
        <v>0</v>
      </c>
      <c r="AI9" s="29" t="b">
        <v>0</v>
      </c>
      <c r="AJ9" s="29" t="b">
        <v>0</v>
      </c>
      <c r="AK9" s="73" t="s">
        <v>190</v>
      </c>
      <c r="AL9" s="48">
        <v>-999</v>
      </c>
      <c r="AM9" s="55">
        <f t="shared" si="2"/>
        <v>-999</v>
      </c>
      <c r="AN9" s="149">
        <f t="shared" si="22"/>
        <v>-999</v>
      </c>
      <c r="AO9" s="48">
        <v>-999</v>
      </c>
      <c r="AP9" s="55">
        <f t="shared" si="3"/>
        <v>-999</v>
      </c>
      <c r="AQ9" s="149">
        <f t="shared" si="4"/>
        <v>-999</v>
      </c>
      <c r="AR9" s="48">
        <v>-999</v>
      </c>
      <c r="AS9" s="55">
        <f t="shared" si="5"/>
        <v>-999</v>
      </c>
      <c r="AT9" s="149">
        <f t="shared" si="6"/>
        <v>-999</v>
      </c>
      <c r="AU9" s="48">
        <v>-999</v>
      </c>
      <c r="AV9" s="55">
        <f t="shared" si="7"/>
        <v>-999</v>
      </c>
      <c r="AW9" s="149">
        <f t="shared" si="8"/>
        <v>-999</v>
      </c>
      <c r="AX9" s="48">
        <v>-999</v>
      </c>
      <c r="AY9" s="55">
        <f t="shared" si="9"/>
        <v>-999</v>
      </c>
      <c r="AZ9" s="149">
        <f t="shared" si="10"/>
        <v>-999</v>
      </c>
      <c r="BA9" s="75">
        <v>25.9</v>
      </c>
      <c r="BB9" s="55">
        <f t="shared" si="11"/>
        <v>0.53129590117751757</v>
      </c>
      <c r="BC9" s="55">
        <f t="shared" si="12"/>
        <v>1760.941</v>
      </c>
      <c r="BD9" s="55">
        <v>-999</v>
      </c>
      <c r="BE9" s="48">
        <v>-999</v>
      </c>
      <c r="BF9" s="48">
        <v>-999</v>
      </c>
      <c r="BG9" s="48">
        <v>-999</v>
      </c>
      <c r="BH9" s="48">
        <v>-999</v>
      </c>
      <c r="BI9" s="75">
        <v>14.1</v>
      </c>
      <c r="BJ9" s="81">
        <f t="shared" si="13"/>
        <v>958.65899999999988</v>
      </c>
      <c r="BK9" s="55">
        <f t="shared" si="14"/>
        <v>0.42206915769635617</v>
      </c>
      <c r="BL9" s="136">
        <v>-999</v>
      </c>
      <c r="BM9" s="48">
        <v>-999</v>
      </c>
      <c r="BN9" s="48">
        <v>-999</v>
      </c>
      <c r="BO9" s="48">
        <v>-999</v>
      </c>
      <c r="BP9" s="48">
        <v>-999</v>
      </c>
      <c r="BQ9" s="75">
        <v>36.1</v>
      </c>
      <c r="BR9" s="81">
        <f t="shared" si="15"/>
        <v>2454.4389999999999</v>
      </c>
      <c r="BS9" s="55">
        <f t="shared" si="16"/>
        <v>0.58248065907277302</v>
      </c>
      <c r="BT9" s="73">
        <v>-999</v>
      </c>
      <c r="BU9" s="48">
        <v>-999</v>
      </c>
      <c r="BV9" s="55">
        <f t="shared" si="17"/>
        <v>-999</v>
      </c>
      <c r="BW9" s="48">
        <v>-999</v>
      </c>
      <c r="BX9" s="55">
        <f t="shared" si="18"/>
        <v>-999</v>
      </c>
      <c r="BY9" s="48">
        <v>-999</v>
      </c>
      <c r="BZ9" s="55">
        <f t="shared" si="19"/>
        <v>-999</v>
      </c>
      <c r="CA9" s="48">
        <v>-999</v>
      </c>
      <c r="CB9" s="55">
        <f t="shared" si="20"/>
        <v>-999</v>
      </c>
      <c r="CC9" s="48">
        <v>-999</v>
      </c>
      <c r="CD9" s="55">
        <f t="shared" si="21"/>
        <v>-999</v>
      </c>
      <c r="CE9" s="55">
        <v>-999</v>
      </c>
      <c r="CF9" s="129" t="s">
        <v>555</v>
      </c>
      <c r="CG9" s="7" t="b">
        <v>0</v>
      </c>
      <c r="CH9" s="10" t="b">
        <v>0</v>
      </c>
    </row>
    <row r="10" spans="1:86" ht="21" customHeight="1">
      <c r="A10" s="32" t="s">
        <v>662</v>
      </c>
      <c r="B10" s="23" t="s">
        <v>415</v>
      </c>
      <c r="C10" s="7" t="s">
        <v>99</v>
      </c>
      <c r="D10" s="8" t="s">
        <v>100</v>
      </c>
      <c r="E10" s="7" t="s">
        <v>101</v>
      </c>
      <c r="F10">
        <v>4</v>
      </c>
      <c r="G10" s="7">
        <v>60969</v>
      </c>
      <c r="H10" s="7" t="s">
        <v>29</v>
      </c>
      <c r="I10" s="7" t="s">
        <v>395</v>
      </c>
      <c r="J10" t="s">
        <v>522</v>
      </c>
      <c r="K10"/>
      <c r="L10" s="44">
        <v>55</v>
      </c>
      <c r="M10" s="9">
        <v>55.1</v>
      </c>
      <c r="N10" s="9">
        <v>-999</v>
      </c>
      <c r="O10" s="9">
        <v>-999</v>
      </c>
      <c r="P10" s="9">
        <v>-999</v>
      </c>
      <c r="Q10" s="9">
        <v>-999</v>
      </c>
      <c r="R10" s="9">
        <v>-999</v>
      </c>
      <c r="S10" s="100">
        <v>-999</v>
      </c>
      <c r="T10" s="101">
        <v>-999</v>
      </c>
      <c r="U10" s="102">
        <v>-999</v>
      </c>
      <c r="V10" s="101">
        <v>-999</v>
      </c>
      <c r="W10" s="102">
        <v>-999</v>
      </c>
      <c r="X10" s="101">
        <v>-999</v>
      </c>
      <c r="Y10" s="102">
        <v>-999</v>
      </c>
      <c r="Z10" s="101">
        <v>-999</v>
      </c>
      <c r="AA10" s="102">
        <v>-999</v>
      </c>
      <c r="AB10" s="101">
        <v>-999</v>
      </c>
      <c r="AC10" s="64">
        <v>10</v>
      </c>
      <c r="AD10" s="131">
        <f>AC10/28</f>
        <v>0.35714285714285715</v>
      </c>
      <c r="AE10" s="144">
        <f t="shared" si="0"/>
        <v>0</v>
      </c>
      <c r="AF10" s="146">
        <f t="shared" si="1"/>
        <v>0.23571428571428574</v>
      </c>
      <c r="AG10" s="9" t="b">
        <v>0</v>
      </c>
      <c r="AH10" s="9" t="b">
        <v>0</v>
      </c>
      <c r="AI10" s="9" t="b">
        <v>0</v>
      </c>
      <c r="AJ10" s="9" t="b">
        <v>0</v>
      </c>
      <c r="AK10" s="71" t="s">
        <v>190</v>
      </c>
      <c r="AL10" s="45">
        <v>-999</v>
      </c>
      <c r="AM10" s="44">
        <f t="shared" si="2"/>
        <v>-999</v>
      </c>
      <c r="AN10" s="149">
        <f t="shared" si="22"/>
        <v>-999</v>
      </c>
      <c r="AO10" s="45">
        <v>-999</v>
      </c>
      <c r="AP10" s="44">
        <f t="shared" si="3"/>
        <v>-999</v>
      </c>
      <c r="AQ10" s="149">
        <f t="shared" si="4"/>
        <v>-999</v>
      </c>
      <c r="AR10" s="45">
        <v>6.1506667322737778</v>
      </c>
      <c r="AS10" s="44">
        <f t="shared" si="5"/>
        <v>9.7302087535040466E-2</v>
      </c>
      <c r="AT10" s="149">
        <f t="shared" si="6"/>
        <v>3749.9999999999995</v>
      </c>
      <c r="AU10" s="45">
        <v>0.13613475700765965</v>
      </c>
      <c r="AV10" s="44">
        <f t="shared" si="7"/>
        <v>1.4932556272680178E-2</v>
      </c>
      <c r="AW10" s="149">
        <f t="shared" si="8"/>
        <v>83.000000000000014</v>
      </c>
      <c r="AX10" s="45">
        <v>5.5766045039282258E-2</v>
      </c>
      <c r="AY10" s="44">
        <f t="shared" si="9"/>
        <v>9.5611307754509284E-3</v>
      </c>
      <c r="AZ10" s="149">
        <f t="shared" si="10"/>
        <v>34</v>
      </c>
      <c r="BA10" s="76">
        <v>6.69</v>
      </c>
      <c r="BB10" s="44">
        <f t="shared" si="11"/>
        <v>0.10118651014906206</v>
      </c>
      <c r="BC10" s="55">
        <f t="shared" si="12"/>
        <v>4078.8261000000002</v>
      </c>
      <c r="BD10" s="44">
        <v>-999</v>
      </c>
      <c r="BE10" s="45">
        <v>-999</v>
      </c>
      <c r="BF10" s="45">
        <v>-999</v>
      </c>
      <c r="BG10" s="45">
        <v>-999</v>
      </c>
      <c r="BH10" s="45">
        <v>-999</v>
      </c>
      <c r="BI10" s="76">
        <v>3.7000000000000006</v>
      </c>
      <c r="BJ10" s="81">
        <f t="shared" si="13"/>
        <v>2255.8530000000005</v>
      </c>
      <c r="BK10" s="44">
        <f t="shared" si="14"/>
        <v>7.6446827941630477E-2</v>
      </c>
      <c r="BL10" s="137">
        <v>-999</v>
      </c>
      <c r="BM10" s="45">
        <v>-999</v>
      </c>
      <c r="BN10" s="45">
        <v>-999</v>
      </c>
      <c r="BO10" s="45">
        <v>-999</v>
      </c>
      <c r="BP10" s="45">
        <v>-999</v>
      </c>
      <c r="BQ10" s="76">
        <v>9.09</v>
      </c>
      <c r="BR10" s="81">
        <f t="shared" si="15"/>
        <v>5542.0820999999996</v>
      </c>
      <c r="BS10" s="44">
        <f t="shared" si="16"/>
        <v>0.11642151180162394</v>
      </c>
      <c r="BT10" s="71">
        <v>-999</v>
      </c>
      <c r="BU10" s="48">
        <v>-999</v>
      </c>
      <c r="BV10" s="44">
        <f t="shared" si="17"/>
        <v>-999</v>
      </c>
      <c r="BW10" s="48">
        <v>-999</v>
      </c>
      <c r="BX10" s="44">
        <f t="shared" si="18"/>
        <v>-999</v>
      </c>
      <c r="BY10" s="48">
        <v>-999</v>
      </c>
      <c r="BZ10" s="44">
        <f t="shared" si="19"/>
        <v>-999</v>
      </c>
      <c r="CA10" s="48">
        <v>-999</v>
      </c>
      <c r="CB10" s="44">
        <f t="shared" si="20"/>
        <v>-999</v>
      </c>
      <c r="CC10" s="48">
        <v>-999</v>
      </c>
      <c r="CD10" s="44">
        <f t="shared" si="21"/>
        <v>-999</v>
      </c>
      <c r="CE10" s="55">
        <v>-999</v>
      </c>
      <c r="CF10" s="129" t="s">
        <v>555</v>
      </c>
      <c r="CG10" s="7" t="b">
        <v>0</v>
      </c>
      <c r="CH10" s="7" t="b">
        <v>0</v>
      </c>
    </row>
    <row r="11" spans="1:86" ht="21" customHeight="1">
      <c r="A11" s="32" t="s">
        <v>663</v>
      </c>
      <c r="B11" s="23" t="s">
        <v>462</v>
      </c>
      <c r="C11" s="38" t="s">
        <v>199</v>
      </c>
      <c r="D11" s="39" t="s">
        <v>201</v>
      </c>
      <c r="E11" s="38" t="s">
        <v>34</v>
      </c>
      <c r="F11">
        <v>5</v>
      </c>
      <c r="G11" s="58">
        <v>15540</v>
      </c>
      <c r="H11" s="38" t="s">
        <v>29</v>
      </c>
      <c r="I11" s="38" t="s">
        <v>200</v>
      </c>
      <c r="J11" t="s">
        <v>527</v>
      </c>
      <c r="K11"/>
      <c r="L11" s="48">
        <v>-999</v>
      </c>
      <c r="M11" s="48">
        <v>-999</v>
      </c>
      <c r="N11" s="48">
        <v>-999</v>
      </c>
      <c r="O11" s="48">
        <v>-999</v>
      </c>
      <c r="P11" s="48">
        <v>-999</v>
      </c>
      <c r="Q11" s="48">
        <v>-999</v>
      </c>
      <c r="R11" s="48">
        <v>-999</v>
      </c>
      <c r="S11" s="96">
        <v>-999</v>
      </c>
      <c r="T11" s="112" t="s">
        <v>202</v>
      </c>
      <c r="U11" s="98">
        <v>-999</v>
      </c>
      <c r="V11" s="110" t="s">
        <v>219</v>
      </c>
      <c r="W11" s="98">
        <v>-999</v>
      </c>
      <c r="X11" s="112">
        <v>-999</v>
      </c>
      <c r="Y11" s="98">
        <v>-999</v>
      </c>
      <c r="Z11" s="112">
        <v>-999</v>
      </c>
      <c r="AA11" s="39">
        <v>-999</v>
      </c>
      <c r="AB11" s="114">
        <v>-999</v>
      </c>
      <c r="AC11" s="66">
        <v>16</v>
      </c>
      <c r="AD11" s="133">
        <v>0.5714285714285714</v>
      </c>
      <c r="AE11" s="144">
        <f t="shared" si="0"/>
        <v>0.5</v>
      </c>
      <c r="AF11" s="146">
        <f t="shared" si="1"/>
        <v>0.54714285714285715</v>
      </c>
      <c r="AG11" s="29" t="b">
        <v>0</v>
      </c>
      <c r="AH11" s="29" t="b">
        <v>1</v>
      </c>
      <c r="AI11" s="29" t="b">
        <v>1</v>
      </c>
      <c r="AJ11" s="29" t="b">
        <v>0</v>
      </c>
      <c r="AK11" s="73" t="s">
        <v>190</v>
      </c>
      <c r="AL11" s="48">
        <v>-999</v>
      </c>
      <c r="AM11" s="55">
        <f t="shared" si="2"/>
        <v>-999</v>
      </c>
      <c r="AN11" s="149">
        <f t="shared" si="22"/>
        <v>-999</v>
      </c>
      <c r="AO11" s="48">
        <v>-999</v>
      </c>
      <c r="AP11" s="55">
        <f t="shared" si="3"/>
        <v>-999</v>
      </c>
      <c r="AQ11" s="149">
        <f t="shared" si="4"/>
        <v>-999</v>
      </c>
      <c r="AR11" s="48">
        <v>2.4</v>
      </c>
      <c r="AS11" s="55">
        <f t="shared" si="5"/>
        <v>0.12277360902636637</v>
      </c>
      <c r="AT11" s="149">
        <f t="shared" si="6"/>
        <v>372.96</v>
      </c>
      <c r="AU11" s="48">
        <v>0.14000000000000001</v>
      </c>
      <c r="AV11" s="55">
        <f t="shared" si="7"/>
        <v>2.9993993392671801E-2</v>
      </c>
      <c r="AW11" s="149">
        <f t="shared" si="8"/>
        <v>21.756000000000004</v>
      </c>
      <c r="AX11" s="48">
        <v>0</v>
      </c>
      <c r="AY11" s="55">
        <f t="shared" si="9"/>
        <v>0</v>
      </c>
      <c r="AZ11" s="149">
        <f t="shared" si="10"/>
        <v>0</v>
      </c>
      <c r="BA11" s="75">
        <v>2.5</v>
      </c>
      <c r="BB11" s="55">
        <f t="shared" si="11"/>
        <v>0.1252410802625408</v>
      </c>
      <c r="BC11" s="55">
        <f t="shared" si="12"/>
        <v>388.5</v>
      </c>
      <c r="BD11" s="55">
        <v>-999</v>
      </c>
      <c r="BE11" s="48">
        <v>-999</v>
      </c>
      <c r="BF11" s="48">
        <v>1.2</v>
      </c>
      <c r="BG11" s="48">
        <v>0.16</v>
      </c>
      <c r="BH11" s="48">
        <v>0</v>
      </c>
      <c r="BI11" s="75">
        <v>1.4</v>
      </c>
      <c r="BJ11" s="81">
        <f t="shared" si="13"/>
        <v>217.55999999999997</v>
      </c>
      <c r="BK11" s="55">
        <f t="shared" si="14"/>
        <v>9.4249047119230239E-2</v>
      </c>
      <c r="BL11" s="136">
        <v>-999</v>
      </c>
      <c r="BM11" s="48">
        <v>-999</v>
      </c>
      <c r="BN11" s="48">
        <v>3.7</v>
      </c>
      <c r="BO11" s="48">
        <v>0.12</v>
      </c>
      <c r="BP11" s="48">
        <v>0</v>
      </c>
      <c r="BQ11" s="75">
        <v>3.8</v>
      </c>
      <c r="BR11" s="81">
        <f t="shared" si="15"/>
        <v>590.52</v>
      </c>
      <c r="BS11" s="55">
        <f t="shared" si="16"/>
        <v>0.15337473561121312</v>
      </c>
      <c r="BT11" s="73">
        <v>-999</v>
      </c>
      <c r="BU11" s="48">
        <v>-999</v>
      </c>
      <c r="BV11" s="55">
        <f t="shared" si="17"/>
        <v>-999</v>
      </c>
      <c r="BW11" s="48">
        <v>-999</v>
      </c>
      <c r="BX11" s="55">
        <f t="shared" si="18"/>
        <v>-999</v>
      </c>
      <c r="BY11" s="48">
        <v>-999</v>
      </c>
      <c r="BZ11" s="55">
        <f t="shared" si="19"/>
        <v>-999</v>
      </c>
      <c r="CA11" s="48">
        <v>-999</v>
      </c>
      <c r="CB11" s="55">
        <f t="shared" si="20"/>
        <v>-999</v>
      </c>
      <c r="CC11" s="48">
        <v>-999</v>
      </c>
      <c r="CD11" s="55">
        <f t="shared" si="21"/>
        <v>-999</v>
      </c>
      <c r="CE11" s="55">
        <v>-999</v>
      </c>
      <c r="CF11" s="155" t="s">
        <v>555</v>
      </c>
      <c r="CG11" s="7" t="b">
        <v>1</v>
      </c>
      <c r="CH11" s="10" t="b">
        <v>1</v>
      </c>
    </row>
    <row r="12" spans="1:86" ht="21" customHeight="1">
      <c r="A12" s="30" t="s">
        <v>664</v>
      </c>
      <c r="B12" s="23" t="s">
        <v>417</v>
      </c>
      <c r="C12" s="7" t="s">
        <v>695</v>
      </c>
      <c r="D12" s="8" t="s">
        <v>37</v>
      </c>
      <c r="E12" s="10" t="s">
        <v>34</v>
      </c>
      <c r="F12">
        <v>5</v>
      </c>
      <c r="G12" s="7">
        <v>6101</v>
      </c>
      <c r="H12" s="7" t="s">
        <v>23</v>
      </c>
      <c r="I12" s="7" t="s">
        <v>397</v>
      </c>
      <c r="J12" t="s">
        <v>524</v>
      </c>
      <c r="K12"/>
      <c r="L12" s="44">
        <v>67</v>
      </c>
      <c r="M12" s="9">
        <v>51.6</v>
      </c>
      <c r="N12" s="9">
        <v>59.3</v>
      </c>
      <c r="O12" s="9">
        <v>23.6</v>
      </c>
      <c r="P12" s="9">
        <v>123.4</v>
      </c>
      <c r="Q12" s="9">
        <v>79.099999999999994</v>
      </c>
      <c r="R12" s="9">
        <v>69.2</v>
      </c>
      <c r="S12" s="100">
        <v>5.5</v>
      </c>
      <c r="T12" s="101" t="s">
        <v>38</v>
      </c>
      <c r="U12" s="102">
        <v>19.2</v>
      </c>
      <c r="V12" s="101" t="s">
        <v>36</v>
      </c>
      <c r="W12" s="102">
        <v>6.6000000000000005</v>
      </c>
      <c r="X12" s="101" t="s">
        <v>39</v>
      </c>
      <c r="Y12" s="102">
        <v>30</v>
      </c>
      <c r="Z12" s="101">
        <v>-999</v>
      </c>
      <c r="AA12" s="102">
        <v>18.8</v>
      </c>
      <c r="AB12" s="101">
        <v>-999</v>
      </c>
      <c r="AC12" s="64">
        <v>21</v>
      </c>
      <c r="AD12" s="131">
        <f>AC12/28</f>
        <v>0.75</v>
      </c>
      <c r="AE12" s="144">
        <f t="shared" si="0"/>
        <v>0.25</v>
      </c>
      <c r="AF12" s="146">
        <f t="shared" si="1"/>
        <v>0.57999999999999996</v>
      </c>
      <c r="AG12" s="9" t="b">
        <v>0</v>
      </c>
      <c r="AH12" s="9" t="b">
        <v>0</v>
      </c>
      <c r="AI12" s="9" t="b">
        <v>1</v>
      </c>
      <c r="AJ12" s="9" t="b">
        <v>0</v>
      </c>
      <c r="AK12" s="71" t="s">
        <v>190</v>
      </c>
      <c r="AL12" s="45">
        <v>4.0999999999999996</v>
      </c>
      <c r="AM12" s="44">
        <f t="shared" si="2"/>
        <v>0.25386376661121435</v>
      </c>
      <c r="AN12" s="149">
        <f t="shared" si="22"/>
        <v>250.14099999999996</v>
      </c>
      <c r="AO12" s="45">
        <v>4.8</v>
      </c>
      <c r="AP12" s="44">
        <f t="shared" si="3"/>
        <v>0.27367717634646649</v>
      </c>
      <c r="AQ12" s="149">
        <f t="shared" si="4"/>
        <v>292.84800000000001</v>
      </c>
      <c r="AR12" s="45">
        <v>2.8</v>
      </c>
      <c r="AS12" s="44">
        <f t="shared" si="5"/>
        <v>0.21120861838147148</v>
      </c>
      <c r="AT12" s="149">
        <f t="shared" si="6"/>
        <v>170.82799999999997</v>
      </c>
      <c r="AU12" s="45">
        <v>0.3</v>
      </c>
      <c r="AV12" s="44">
        <f t="shared" si="7"/>
        <v>7.0017676368883369E-2</v>
      </c>
      <c r="AW12" s="149">
        <f t="shared" si="8"/>
        <v>18.303000000000001</v>
      </c>
      <c r="AX12" s="45">
        <v>0.1</v>
      </c>
      <c r="AY12" s="44">
        <f t="shared" si="9"/>
        <v>4.0465250349182282E-2</v>
      </c>
      <c r="AZ12" s="149">
        <f t="shared" si="10"/>
        <v>6.101</v>
      </c>
      <c r="BA12" s="76">
        <v>12.1</v>
      </c>
      <c r="BB12" s="44">
        <f t="shared" si="11"/>
        <v>0.41752896622051855</v>
      </c>
      <c r="BC12" s="55">
        <f t="shared" si="12"/>
        <v>738.221</v>
      </c>
      <c r="BD12" s="44">
        <v>-999</v>
      </c>
      <c r="BE12" s="45">
        <v>-999</v>
      </c>
      <c r="BF12" s="45">
        <v>-999</v>
      </c>
      <c r="BG12" s="45">
        <v>-999</v>
      </c>
      <c r="BH12" s="45">
        <v>-999</v>
      </c>
      <c r="BI12" s="76">
        <v>10</v>
      </c>
      <c r="BJ12" s="81">
        <f t="shared" si="13"/>
        <v>610.1</v>
      </c>
      <c r="BK12" s="44">
        <f t="shared" si="14"/>
        <v>0.3840791591905296</v>
      </c>
      <c r="BL12" s="137">
        <v>-999</v>
      </c>
      <c r="BM12" s="45">
        <v>-999</v>
      </c>
      <c r="BN12" s="45">
        <v>-999</v>
      </c>
      <c r="BO12" s="45">
        <v>-999</v>
      </c>
      <c r="BP12" s="45">
        <v>-999</v>
      </c>
      <c r="BQ12" s="76">
        <v>13.900000000000002</v>
      </c>
      <c r="BR12" s="81">
        <f t="shared" si="15"/>
        <v>848.0390000000001</v>
      </c>
      <c r="BS12" s="44">
        <f t="shared" si="16"/>
        <v>0.44290283822843307</v>
      </c>
      <c r="BT12" s="71">
        <v>-999</v>
      </c>
      <c r="BU12" s="48">
        <v>-999</v>
      </c>
      <c r="BV12" s="44">
        <f t="shared" si="17"/>
        <v>-999</v>
      </c>
      <c r="BW12" s="48">
        <v>-999</v>
      </c>
      <c r="BX12" s="44">
        <f t="shared" si="18"/>
        <v>-999</v>
      </c>
      <c r="BY12" s="48">
        <v>-999</v>
      </c>
      <c r="BZ12" s="44">
        <f t="shared" si="19"/>
        <v>-999</v>
      </c>
      <c r="CA12" s="48">
        <v>-999</v>
      </c>
      <c r="CB12" s="44">
        <f t="shared" si="20"/>
        <v>-999</v>
      </c>
      <c r="CC12" s="48">
        <v>-999</v>
      </c>
      <c r="CD12" s="44">
        <f t="shared" si="21"/>
        <v>-999</v>
      </c>
      <c r="CE12" s="55">
        <v>-999</v>
      </c>
      <c r="CF12" s="129" t="s">
        <v>556</v>
      </c>
      <c r="CG12" s="7" t="b">
        <v>1</v>
      </c>
      <c r="CH12" s="7" t="b">
        <v>0</v>
      </c>
    </row>
    <row r="13" spans="1:86" ht="21" customHeight="1">
      <c r="A13" s="32" t="s">
        <v>665</v>
      </c>
      <c r="B13" s="23" t="s">
        <v>418</v>
      </c>
      <c r="C13" s="7" t="s">
        <v>694</v>
      </c>
      <c r="D13" s="8">
        <v>2007</v>
      </c>
      <c r="E13" s="7" t="s">
        <v>123</v>
      </c>
      <c r="F13">
        <v>5</v>
      </c>
      <c r="G13" s="7">
        <v>1289</v>
      </c>
      <c r="H13" s="7" t="s">
        <v>29</v>
      </c>
      <c r="I13" s="7" t="s">
        <v>398</v>
      </c>
      <c r="J13" t="s">
        <v>525</v>
      </c>
      <c r="K13"/>
      <c r="L13" s="44">
        <v>72</v>
      </c>
      <c r="M13" s="9">
        <v>43.7</v>
      </c>
      <c r="N13" s="9">
        <v>60.3</v>
      </c>
      <c r="O13" s="9">
        <v>24.3</v>
      </c>
      <c r="P13" s="9">
        <v>126.5</v>
      </c>
      <c r="Q13" s="9">
        <v>86.6</v>
      </c>
      <c r="R13" s="9">
        <v>60.5</v>
      </c>
      <c r="S13" s="100">
        <v>2.9000000000000004</v>
      </c>
      <c r="T13" s="101" t="s">
        <v>35</v>
      </c>
      <c r="U13" s="102">
        <v>38.800000000000004</v>
      </c>
      <c r="V13" s="101" t="s">
        <v>124</v>
      </c>
      <c r="W13" s="102">
        <v>16.2</v>
      </c>
      <c r="X13" s="101" t="s">
        <v>39</v>
      </c>
      <c r="Y13" s="102">
        <v>16.7</v>
      </c>
      <c r="Z13" s="101" t="s">
        <v>125</v>
      </c>
      <c r="AA13" s="102">
        <v>12.4</v>
      </c>
      <c r="AB13" s="101">
        <v>-999</v>
      </c>
      <c r="AC13" s="64">
        <v>21</v>
      </c>
      <c r="AD13" s="131">
        <f>AC13/28</f>
        <v>0.75</v>
      </c>
      <c r="AE13" s="144">
        <f t="shared" si="0"/>
        <v>0.25</v>
      </c>
      <c r="AF13" s="146">
        <f t="shared" si="1"/>
        <v>0.57999999999999996</v>
      </c>
      <c r="AG13" s="9" t="b">
        <v>0</v>
      </c>
      <c r="AH13" s="9" t="b">
        <v>1</v>
      </c>
      <c r="AI13" s="9" t="b">
        <v>0</v>
      </c>
      <c r="AJ13" s="9" t="b">
        <v>0</v>
      </c>
      <c r="AK13" s="71" t="s">
        <v>190</v>
      </c>
      <c r="AL13" s="45">
        <v>12.8</v>
      </c>
      <c r="AM13" s="44">
        <f t="shared" si="2"/>
        <v>0.93054369018780203</v>
      </c>
      <c r="AN13" s="149">
        <f t="shared" si="22"/>
        <v>164.99199999999999</v>
      </c>
      <c r="AO13" s="45">
        <v>4.5999999999999996</v>
      </c>
      <c r="AP13" s="44">
        <f t="shared" si="3"/>
        <v>0.58348090046739354</v>
      </c>
      <c r="AQ13" s="149">
        <f t="shared" si="4"/>
        <v>59.293999999999997</v>
      </c>
      <c r="AR13" s="45">
        <v>1.1000000000000001</v>
      </c>
      <c r="AS13" s="44">
        <f t="shared" si="5"/>
        <v>0.29051464460108706</v>
      </c>
      <c r="AT13" s="149">
        <f t="shared" si="6"/>
        <v>14.179000000000002</v>
      </c>
      <c r="AU13" s="45">
        <v>0.3</v>
      </c>
      <c r="AV13" s="44">
        <f t="shared" si="7"/>
        <v>0.1523287042385261</v>
      </c>
      <c r="AW13" s="149">
        <f t="shared" si="8"/>
        <v>3.867</v>
      </c>
      <c r="AX13" s="45">
        <v>0.3</v>
      </c>
      <c r="AY13" s="44">
        <f t="shared" si="9"/>
        <v>0.1523287042385261</v>
      </c>
      <c r="AZ13" s="149">
        <f t="shared" si="10"/>
        <v>3.867</v>
      </c>
      <c r="BA13" s="76">
        <v>19.100000000000001</v>
      </c>
      <c r="BB13" s="44">
        <f t="shared" si="11"/>
        <v>1.0948748648790818</v>
      </c>
      <c r="BC13" s="55">
        <f t="shared" si="12"/>
        <v>246.19900000000001</v>
      </c>
      <c r="BD13" s="44">
        <v>-999</v>
      </c>
      <c r="BE13" s="45">
        <v>-999</v>
      </c>
      <c r="BF13" s="45">
        <v>-999</v>
      </c>
      <c r="BG13" s="45">
        <v>-999</v>
      </c>
      <c r="BH13" s="45">
        <v>-999</v>
      </c>
      <c r="BI13" s="76">
        <v>18.5</v>
      </c>
      <c r="BJ13" s="81">
        <f t="shared" si="13"/>
        <v>238.465</v>
      </c>
      <c r="BK13" s="44">
        <f t="shared" si="14"/>
        <v>1.0815291017017403</v>
      </c>
      <c r="BL13" s="137">
        <v>-999</v>
      </c>
      <c r="BM13" s="45">
        <v>-999</v>
      </c>
      <c r="BN13" s="45">
        <v>-999</v>
      </c>
      <c r="BO13" s="45">
        <v>-999</v>
      </c>
      <c r="BP13" s="45">
        <v>-999</v>
      </c>
      <c r="BQ13" s="76">
        <v>22.7</v>
      </c>
      <c r="BR13" s="81">
        <f t="shared" si="15"/>
        <v>292.60299999999995</v>
      </c>
      <c r="BS13" s="44">
        <f t="shared" si="16"/>
        <v>1.1667457212123884</v>
      </c>
      <c r="BT13" s="71">
        <v>-999</v>
      </c>
      <c r="BU13" s="48">
        <v>-999</v>
      </c>
      <c r="BV13" s="44">
        <f t="shared" si="17"/>
        <v>-999</v>
      </c>
      <c r="BW13" s="48">
        <v>-999</v>
      </c>
      <c r="BX13" s="44">
        <f t="shared" si="18"/>
        <v>-999</v>
      </c>
      <c r="BY13" s="48">
        <v>-999</v>
      </c>
      <c r="BZ13" s="44">
        <f t="shared" si="19"/>
        <v>-999</v>
      </c>
      <c r="CA13" s="48">
        <v>-999</v>
      </c>
      <c r="CB13" s="44">
        <f t="shared" si="20"/>
        <v>-999</v>
      </c>
      <c r="CC13" s="48">
        <v>-999</v>
      </c>
      <c r="CD13" s="44">
        <f t="shared" si="21"/>
        <v>-999</v>
      </c>
      <c r="CE13" s="55">
        <v>-999</v>
      </c>
      <c r="CF13" s="129" t="s">
        <v>556</v>
      </c>
      <c r="CG13" s="7" t="b">
        <v>1</v>
      </c>
      <c r="CH13" s="10" t="b">
        <v>0</v>
      </c>
    </row>
    <row r="14" spans="1:86" ht="21" customHeight="1">
      <c r="A14" s="32" t="s">
        <v>600</v>
      </c>
      <c r="B14" s="23" t="s">
        <v>416</v>
      </c>
      <c r="C14" s="7" t="s">
        <v>696</v>
      </c>
      <c r="D14" s="11">
        <v>2006</v>
      </c>
      <c r="E14" s="10" t="s">
        <v>34</v>
      </c>
      <c r="F14">
        <v>5</v>
      </c>
      <c r="G14" s="10">
        <v>2554</v>
      </c>
      <c r="H14" s="10" t="s">
        <v>23</v>
      </c>
      <c r="I14" s="7" t="s">
        <v>396</v>
      </c>
      <c r="J14" t="s">
        <v>524</v>
      </c>
      <c r="K14"/>
      <c r="L14" s="45">
        <v>64</v>
      </c>
      <c r="M14" s="12">
        <v>58.4</v>
      </c>
      <c r="N14" s="12">
        <v>-999</v>
      </c>
      <c r="O14" s="12">
        <v>-999</v>
      </c>
      <c r="P14" s="12">
        <v>-999</v>
      </c>
      <c r="Q14" s="12">
        <v>-999</v>
      </c>
      <c r="R14" s="12">
        <v>-999</v>
      </c>
      <c r="S14" s="100">
        <v>12</v>
      </c>
      <c r="T14" s="101" t="s">
        <v>35</v>
      </c>
      <c r="U14" s="102">
        <v>53.1</v>
      </c>
      <c r="V14" s="101" t="s">
        <v>36</v>
      </c>
      <c r="W14" s="102">
        <v>6.3</v>
      </c>
      <c r="X14" s="101">
        <v>-999</v>
      </c>
      <c r="Y14" s="102">
        <v>4.5999999999999996</v>
      </c>
      <c r="Z14" s="101">
        <v>-999</v>
      </c>
      <c r="AA14" s="102">
        <v>-999</v>
      </c>
      <c r="AB14" s="101">
        <v>-999</v>
      </c>
      <c r="AC14" s="64">
        <v>17</v>
      </c>
      <c r="AD14" s="131">
        <f>AC14/28</f>
        <v>0.6071428571428571</v>
      </c>
      <c r="AE14" s="144">
        <f t="shared" si="0"/>
        <v>0.25</v>
      </c>
      <c r="AF14" s="146">
        <f t="shared" si="1"/>
        <v>0.48571428571428571</v>
      </c>
      <c r="AG14" s="9" t="b">
        <v>1</v>
      </c>
      <c r="AH14" s="9" t="b">
        <v>0</v>
      </c>
      <c r="AI14" s="9" t="b">
        <v>0</v>
      </c>
      <c r="AJ14" s="9" t="b">
        <v>0</v>
      </c>
      <c r="AK14" s="71" t="s">
        <v>190</v>
      </c>
      <c r="AL14" s="45">
        <v>2.4</v>
      </c>
      <c r="AM14" s="44">
        <f t="shared" si="2"/>
        <v>0.30284477365525958</v>
      </c>
      <c r="AN14" s="149">
        <f t="shared" si="22"/>
        <v>61.295999999999999</v>
      </c>
      <c r="AO14" s="45">
        <v>3.6000000000000005</v>
      </c>
      <c r="AP14" s="44">
        <f t="shared" si="3"/>
        <v>0.36862036165388617</v>
      </c>
      <c r="AQ14" s="149">
        <f t="shared" si="4"/>
        <v>91.944000000000017</v>
      </c>
      <c r="AR14" s="45">
        <v>5.5</v>
      </c>
      <c r="AS14" s="44">
        <f t="shared" si="5"/>
        <v>0.45111451646944334</v>
      </c>
      <c r="AT14" s="149">
        <f t="shared" si="6"/>
        <v>140.47</v>
      </c>
      <c r="AU14" s="45">
        <v>0.3</v>
      </c>
      <c r="AV14" s="44">
        <f t="shared" si="7"/>
        <v>0.10821756559599686</v>
      </c>
      <c r="AW14" s="149">
        <f t="shared" si="8"/>
        <v>7.6619999999999999</v>
      </c>
      <c r="AX14" s="45">
        <v>0.04</v>
      </c>
      <c r="AY14" s="44">
        <f t="shared" si="9"/>
        <v>3.9566958997661557E-2</v>
      </c>
      <c r="AZ14" s="149">
        <f t="shared" si="10"/>
        <v>1.0216000000000001</v>
      </c>
      <c r="BA14" s="76">
        <v>11.8</v>
      </c>
      <c r="BB14" s="44">
        <f t="shared" si="11"/>
        <v>0.63835880013781499</v>
      </c>
      <c r="BC14" s="55">
        <f t="shared" si="12"/>
        <v>301.37200000000001</v>
      </c>
      <c r="BD14" s="44">
        <v>-999</v>
      </c>
      <c r="BE14" s="45">
        <v>-999</v>
      </c>
      <c r="BF14" s="45">
        <v>-999</v>
      </c>
      <c r="BG14" s="45">
        <v>-999</v>
      </c>
      <c r="BH14" s="45">
        <v>-999</v>
      </c>
      <c r="BI14" s="76">
        <v>10.8</v>
      </c>
      <c r="BJ14" s="81">
        <f t="shared" si="13"/>
        <v>275.83200000000005</v>
      </c>
      <c r="BK14" s="44">
        <f t="shared" si="14"/>
        <v>0.61416329622050225</v>
      </c>
      <c r="BL14" s="137">
        <v>-999</v>
      </c>
      <c r="BM14" s="45">
        <v>-999</v>
      </c>
      <c r="BN14" s="45">
        <v>-999</v>
      </c>
      <c r="BO14" s="45">
        <v>-999</v>
      </c>
      <c r="BP14" s="45">
        <v>-999</v>
      </c>
      <c r="BQ14" s="76">
        <v>12.4</v>
      </c>
      <c r="BR14" s="81">
        <f t="shared" si="15"/>
        <v>316.69599999999997</v>
      </c>
      <c r="BS14" s="44">
        <f t="shared" si="16"/>
        <v>0.65215743399561121</v>
      </c>
      <c r="BT14" s="71">
        <v>-999</v>
      </c>
      <c r="BU14" s="48">
        <v>-999</v>
      </c>
      <c r="BV14" s="44">
        <f t="shared" si="17"/>
        <v>-999</v>
      </c>
      <c r="BW14" s="48">
        <v>-999</v>
      </c>
      <c r="BX14" s="44">
        <f t="shared" si="18"/>
        <v>-999</v>
      </c>
      <c r="BY14" s="48">
        <v>-999</v>
      </c>
      <c r="BZ14" s="44">
        <f t="shared" si="19"/>
        <v>-999</v>
      </c>
      <c r="CA14" s="48">
        <v>-999</v>
      </c>
      <c r="CB14" s="44">
        <f t="shared" si="20"/>
        <v>-999</v>
      </c>
      <c r="CC14" s="48">
        <v>-999</v>
      </c>
      <c r="CD14" s="44">
        <f t="shared" si="21"/>
        <v>-999</v>
      </c>
      <c r="CE14" s="55">
        <v>-999</v>
      </c>
      <c r="CF14" s="129" t="s">
        <v>556</v>
      </c>
      <c r="CG14" s="7" t="b">
        <v>1</v>
      </c>
      <c r="CH14" s="23" t="b">
        <v>0</v>
      </c>
    </row>
    <row r="15" spans="1:86" ht="21" customHeight="1">
      <c r="A15" s="10" t="s">
        <v>601</v>
      </c>
      <c r="B15" s="25" t="s">
        <v>463</v>
      </c>
      <c r="C15" s="84" t="s">
        <v>203</v>
      </c>
      <c r="D15" s="83" t="s">
        <v>204</v>
      </c>
      <c r="E15" s="84" t="s">
        <v>94</v>
      </c>
      <c r="F15">
        <v>4</v>
      </c>
      <c r="G15" s="84">
        <v>3793</v>
      </c>
      <c r="H15" s="84" t="s">
        <v>29</v>
      </c>
      <c r="I15" s="84" t="s">
        <v>206</v>
      </c>
      <c r="J15" t="s">
        <v>527</v>
      </c>
      <c r="K15"/>
      <c r="L15" s="55">
        <v>49.1</v>
      </c>
      <c r="M15" s="55">
        <v>-999</v>
      </c>
      <c r="N15" s="55">
        <v>-999</v>
      </c>
      <c r="O15" s="55">
        <v>-999</v>
      </c>
      <c r="P15" s="55">
        <v>-999</v>
      </c>
      <c r="Q15" s="55">
        <v>-999</v>
      </c>
      <c r="R15" s="55">
        <v>-999</v>
      </c>
      <c r="S15" s="96">
        <v>22.7</v>
      </c>
      <c r="T15" s="120" t="s">
        <v>205</v>
      </c>
      <c r="U15" s="119"/>
      <c r="V15" s="110" t="s">
        <v>219</v>
      </c>
      <c r="W15" s="119">
        <v>-999</v>
      </c>
      <c r="X15" s="120">
        <v>-999</v>
      </c>
      <c r="Y15" s="119">
        <v>33</v>
      </c>
      <c r="Z15" s="120" t="s">
        <v>64</v>
      </c>
      <c r="AA15" s="119">
        <f>100-56.3</f>
        <v>43.7</v>
      </c>
      <c r="AB15" s="120" t="s">
        <v>33</v>
      </c>
      <c r="AC15" s="63">
        <v>22</v>
      </c>
      <c r="AD15" s="132">
        <v>0.7857142857142857</v>
      </c>
      <c r="AE15" s="144">
        <f t="shared" si="0"/>
        <v>0.25</v>
      </c>
      <c r="AF15" s="146">
        <f t="shared" si="1"/>
        <v>0.60357142857142854</v>
      </c>
      <c r="AG15" s="29" t="b">
        <v>0</v>
      </c>
      <c r="AH15" s="29" t="b">
        <v>1</v>
      </c>
      <c r="AI15" s="29" t="b">
        <v>0</v>
      </c>
      <c r="AJ15" s="29" t="b">
        <v>0</v>
      </c>
      <c r="AK15" s="73" t="s">
        <v>192</v>
      </c>
      <c r="AL15" s="55">
        <v>-999</v>
      </c>
      <c r="AM15" s="55">
        <f t="shared" si="2"/>
        <v>-999</v>
      </c>
      <c r="AN15" s="149">
        <f t="shared" si="22"/>
        <v>-999</v>
      </c>
      <c r="AO15" s="55">
        <v>-999</v>
      </c>
      <c r="AP15" s="55">
        <f t="shared" si="3"/>
        <v>-999</v>
      </c>
      <c r="AQ15" s="149">
        <f t="shared" si="4"/>
        <v>-999</v>
      </c>
      <c r="AR15" s="55">
        <f>14.92+4.88</f>
        <v>19.8</v>
      </c>
      <c r="AS15" s="55">
        <f t="shared" si="5"/>
        <v>0.64703587062467638</v>
      </c>
      <c r="AT15" s="149">
        <f t="shared" si="6"/>
        <v>751.01400000000001</v>
      </c>
      <c r="AU15" s="55">
        <v>1.1299999999999999</v>
      </c>
      <c r="AV15" s="55">
        <f t="shared" si="7"/>
        <v>0.17162480921595474</v>
      </c>
      <c r="AW15" s="149">
        <f t="shared" si="8"/>
        <v>42.860899999999994</v>
      </c>
      <c r="AX15" s="55">
        <v>0.21</v>
      </c>
      <c r="AY15" s="55">
        <f t="shared" si="9"/>
        <v>7.4329590012925439E-2</v>
      </c>
      <c r="AZ15" s="149">
        <f t="shared" si="10"/>
        <v>7.9652999999999992</v>
      </c>
      <c r="BA15" s="75">
        <v>29.7</v>
      </c>
      <c r="BB15" s="55">
        <f t="shared" si="11"/>
        <v>0.74193262002346982</v>
      </c>
      <c r="BC15" s="55">
        <f t="shared" si="12"/>
        <v>1126.521</v>
      </c>
      <c r="BD15" s="55">
        <v>-999</v>
      </c>
      <c r="BE15" s="55">
        <v>-999</v>
      </c>
      <c r="BF15" s="55">
        <v>-999</v>
      </c>
      <c r="BG15" s="55">
        <v>-999</v>
      </c>
      <c r="BH15" s="55">
        <v>-999</v>
      </c>
      <c r="BI15" s="75">
        <v>27.5</v>
      </c>
      <c r="BJ15" s="81">
        <f t="shared" si="13"/>
        <v>1043.075</v>
      </c>
      <c r="BK15" s="55">
        <f t="shared" si="14"/>
        <v>0.72500988656586207</v>
      </c>
      <c r="BL15" s="136">
        <v>-999</v>
      </c>
      <c r="BM15" s="55">
        <v>-999</v>
      </c>
      <c r="BN15" s="55">
        <v>-999</v>
      </c>
      <c r="BO15" s="55">
        <v>-999</v>
      </c>
      <c r="BP15" s="55">
        <v>-999</v>
      </c>
      <c r="BQ15" s="75">
        <v>32.1</v>
      </c>
      <c r="BR15" s="81">
        <f t="shared" si="15"/>
        <v>1217.5530000000001</v>
      </c>
      <c r="BS15" s="55">
        <f t="shared" si="16"/>
        <v>0.75804673581371462</v>
      </c>
      <c r="BT15" s="73">
        <v>-999</v>
      </c>
      <c r="BU15" s="55">
        <v>-999</v>
      </c>
      <c r="BV15" s="55">
        <f t="shared" si="17"/>
        <v>-999</v>
      </c>
      <c r="BW15" s="55">
        <v>-999</v>
      </c>
      <c r="BX15" s="55">
        <f t="shared" si="18"/>
        <v>-999</v>
      </c>
      <c r="BY15" s="55">
        <v>-999</v>
      </c>
      <c r="BZ15" s="55">
        <f t="shared" si="19"/>
        <v>-999</v>
      </c>
      <c r="CA15" s="55">
        <v>-999</v>
      </c>
      <c r="CB15" s="55">
        <f t="shared" si="20"/>
        <v>-999</v>
      </c>
      <c r="CC15" s="55">
        <v>-999</v>
      </c>
      <c r="CD15" s="55">
        <f t="shared" si="21"/>
        <v>-999</v>
      </c>
      <c r="CE15" s="55">
        <v>-999</v>
      </c>
      <c r="CF15" s="155" t="s">
        <v>555</v>
      </c>
      <c r="CG15" s="7" t="b">
        <v>1</v>
      </c>
      <c r="CH15" s="7" t="b">
        <v>0</v>
      </c>
    </row>
    <row r="16" spans="1:86" ht="21" customHeight="1">
      <c r="A16" s="32" t="s">
        <v>666</v>
      </c>
      <c r="B16" s="23" t="s">
        <v>419</v>
      </c>
      <c r="C16" s="7" t="s">
        <v>586</v>
      </c>
      <c r="D16" s="8" t="s">
        <v>132</v>
      </c>
      <c r="E16" s="7" t="s">
        <v>133</v>
      </c>
      <c r="F16">
        <v>2</v>
      </c>
      <c r="G16" s="7">
        <v>13233</v>
      </c>
      <c r="H16" s="7" t="s">
        <v>29</v>
      </c>
      <c r="I16" s="7" t="s">
        <v>339</v>
      </c>
      <c r="J16" t="s">
        <v>522</v>
      </c>
      <c r="K16"/>
      <c r="L16" s="44">
        <v>51.800000000000004</v>
      </c>
      <c r="M16" s="9">
        <v>46.2</v>
      </c>
      <c r="N16" s="9">
        <v>-999</v>
      </c>
      <c r="O16" s="9">
        <v>28.1</v>
      </c>
      <c r="P16" s="9">
        <v>-999</v>
      </c>
      <c r="Q16" s="9">
        <v>-999</v>
      </c>
      <c r="R16" s="9">
        <v>78.7</v>
      </c>
      <c r="S16" s="100">
        <v>6.8000000000000007</v>
      </c>
      <c r="T16" s="101" t="s">
        <v>134</v>
      </c>
      <c r="U16" s="102">
        <v>27.1</v>
      </c>
      <c r="V16" s="101" t="s">
        <v>134</v>
      </c>
      <c r="W16" s="102">
        <v>28.599999999999998</v>
      </c>
      <c r="X16" s="101" t="s">
        <v>135</v>
      </c>
      <c r="Y16" s="102">
        <v>30.8</v>
      </c>
      <c r="Z16" s="101" t="s">
        <v>136</v>
      </c>
      <c r="AA16" s="102">
        <v>-999</v>
      </c>
      <c r="AB16" s="101" t="s">
        <v>137</v>
      </c>
      <c r="AC16" s="64">
        <v>26</v>
      </c>
      <c r="AD16" s="131">
        <f>AC16/28</f>
        <v>0.9285714285714286</v>
      </c>
      <c r="AE16" s="144">
        <f t="shared" si="0"/>
        <v>0.5</v>
      </c>
      <c r="AF16" s="146">
        <f t="shared" si="1"/>
        <v>0.78285714285714292</v>
      </c>
      <c r="AG16" s="9" t="b">
        <v>0</v>
      </c>
      <c r="AH16" s="9" t="b">
        <v>0</v>
      </c>
      <c r="AI16" s="9" t="b">
        <v>1</v>
      </c>
      <c r="AJ16" s="9" t="b">
        <v>1</v>
      </c>
      <c r="AK16" s="71" t="s">
        <v>190</v>
      </c>
      <c r="AL16" s="45">
        <v>1.78</v>
      </c>
      <c r="AM16" s="44">
        <f t="shared" si="2"/>
        <v>0.11494254525650228</v>
      </c>
      <c r="AN16" s="149">
        <f t="shared" si="22"/>
        <v>235.54740000000001</v>
      </c>
      <c r="AO16" s="45">
        <v>3.2400000000000007</v>
      </c>
      <c r="AP16" s="44">
        <f t="shared" si="3"/>
        <v>0.15391866174087393</v>
      </c>
      <c r="AQ16" s="149">
        <f t="shared" si="4"/>
        <v>428.74920000000009</v>
      </c>
      <c r="AR16" s="45">
        <v>7.6900000000000013</v>
      </c>
      <c r="AS16" s="44">
        <f t="shared" si="5"/>
        <v>0.23161057733399337</v>
      </c>
      <c r="AT16" s="149">
        <f t="shared" si="6"/>
        <v>1017.6177000000001</v>
      </c>
      <c r="AU16" s="45">
        <v>0.35</v>
      </c>
      <c r="AV16" s="44">
        <f t="shared" si="7"/>
        <v>5.1338540436493461E-2</v>
      </c>
      <c r="AW16" s="149">
        <f t="shared" si="8"/>
        <v>46.315499999999993</v>
      </c>
      <c r="AX16" s="45">
        <v>0</v>
      </c>
      <c r="AY16" s="44">
        <f t="shared" si="9"/>
        <v>0</v>
      </c>
      <c r="AZ16" s="149">
        <f t="shared" si="10"/>
        <v>0</v>
      </c>
      <c r="BA16" s="76">
        <v>13.07</v>
      </c>
      <c r="BB16" s="44">
        <f t="shared" si="11"/>
        <v>0.29301744513635297</v>
      </c>
      <c r="BC16" s="55">
        <f t="shared" si="12"/>
        <v>1729.5531000000001</v>
      </c>
      <c r="BD16" s="44">
        <v>-999</v>
      </c>
      <c r="BE16" s="45">
        <v>-999</v>
      </c>
      <c r="BF16" s="45">
        <v>-999</v>
      </c>
      <c r="BG16" s="45">
        <v>-999</v>
      </c>
      <c r="BH16" s="45">
        <v>-999</v>
      </c>
      <c r="BI16" s="76">
        <v>-999</v>
      </c>
      <c r="BJ16" s="81">
        <f t="shared" si="13"/>
        <v>-999</v>
      </c>
      <c r="BK16" s="44">
        <f t="shared" si="14"/>
        <v>-999</v>
      </c>
      <c r="BL16" s="137">
        <v>-999</v>
      </c>
      <c r="BM16" s="45">
        <v>-999</v>
      </c>
      <c r="BN16" s="45">
        <v>-999</v>
      </c>
      <c r="BO16" s="45">
        <v>-999</v>
      </c>
      <c r="BP16" s="45">
        <v>-999</v>
      </c>
      <c r="BQ16" s="76">
        <v>-999</v>
      </c>
      <c r="BR16" s="81">
        <f t="shared" si="15"/>
        <v>-999</v>
      </c>
      <c r="BS16" s="44">
        <f t="shared" si="16"/>
        <v>-999</v>
      </c>
      <c r="BT16" s="71">
        <v>-999</v>
      </c>
      <c r="BU16" s="48">
        <v>-999</v>
      </c>
      <c r="BV16" s="44">
        <f t="shared" si="17"/>
        <v>-999</v>
      </c>
      <c r="BW16" s="48">
        <v>-999</v>
      </c>
      <c r="BX16" s="44">
        <f t="shared" si="18"/>
        <v>-999</v>
      </c>
      <c r="BY16" s="48">
        <v>-999</v>
      </c>
      <c r="BZ16" s="44">
        <f t="shared" si="19"/>
        <v>-999</v>
      </c>
      <c r="CA16" s="48">
        <v>-999</v>
      </c>
      <c r="CB16" s="44">
        <f t="shared" si="20"/>
        <v>-999</v>
      </c>
      <c r="CC16" s="48">
        <v>-999</v>
      </c>
      <c r="CD16" s="44">
        <f t="shared" si="21"/>
        <v>-999</v>
      </c>
      <c r="CE16" s="55">
        <v>-999</v>
      </c>
      <c r="CF16" s="129" t="s">
        <v>556</v>
      </c>
      <c r="CG16" s="7" t="b">
        <v>1</v>
      </c>
      <c r="CH16" s="10" t="b">
        <v>1</v>
      </c>
    </row>
    <row r="17" spans="1:86" ht="21" customHeight="1">
      <c r="A17" s="32" t="s">
        <v>602</v>
      </c>
      <c r="B17" s="23" t="s">
        <v>464</v>
      </c>
      <c r="C17" s="32" t="s">
        <v>377</v>
      </c>
      <c r="D17" s="39" t="s">
        <v>697</v>
      </c>
      <c r="E17" s="38" t="s">
        <v>378</v>
      </c>
      <c r="F17">
        <v>4</v>
      </c>
      <c r="G17" s="38">
        <v>19509</v>
      </c>
      <c r="H17" s="38" t="s">
        <v>29</v>
      </c>
      <c r="I17" s="38" t="s">
        <v>233</v>
      </c>
      <c r="J17" t="s">
        <v>523</v>
      </c>
      <c r="K17"/>
      <c r="L17" s="48">
        <v>60.9</v>
      </c>
      <c r="M17" s="40">
        <v>47.7</v>
      </c>
      <c r="N17" s="40">
        <v>-999</v>
      </c>
      <c r="O17" s="40">
        <v>-999</v>
      </c>
      <c r="P17" s="40">
        <v>-999</v>
      </c>
      <c r="Q17" s="40">
        <v>-999</v>
      </c>
      <c r="R17" s="40">
        <v>79.56</v>
      </c>
      <c r="S17" s="96">
        <v>-999</v>
      </c>
      <c r="T17" s="112">
        <v>-999</v>
      </c>
      <c r="U17" s="98">
        <v>-999</v>
      </c>
      <c r="V17" s="112">
        <v>-999</v>
      </c>
      <c r="W17" s="98">
        <v>-999</v>
      </c>
      <c r="X17" s="112">
        <v>-999</v>
      </c>
      <c r="Y17" s="98">
        <v>-999</v>
      </c>
      <c r="Z17" s="112">
        <v>-999</v>
      </c>
      <c r="AA17" s="98">
        <v>-999</v>
      </c>
      <c r="AB17" s="112">
        <v>-999</v>
      </c>
      <c r="AC17" s="63">
        <v>17</v>
      </c>
      <c r="AD17" s="132">
        <v>0.6071428571428571</v>
      </c>
      <c r="AE17" s="144">
        <f t="shared" si="0"/>
        <v>0.5</v>
      </c>
      <c r="AF17" s="146">
        <f t="shared" si="1"/>
        <v>0.57071428571428573</v>
      </c>
      <c r="AG17" s="29" t="b">
        <v>0</v>
      </c>
      <c r="AH17" s="29" t="b">
        <v>1</v>
      </c>
      <c r="AI17" s="29" t="b">
        <v>1</v>
      </c>
      <c r="AJ17" s="29" t="b">
        <v>0</v>
      </c>
      <c r="AK17" s="73" t="s">
        <v>190</v>
      </c>
      <c r="AL17" s="48">
        <v>-999</v>
      </c>
      <c r="AM17" s="55">
        <f t="shared" si="2"/>
        <v>-999</v>
      </c>
      <c r="AN17" s="149">
        <f t="shared" si="22"/>
        <v>-999</v>
      </c>
      <c r="AO17" s="48">
        <v>-999</v>
      </c>
      <c r="AP17" s="55">
        <f t="shared" si="3"/>
        <v>-999</v>
      </c>
      <c r="AQ17" s="149">
        <f t="shared" si="4"/>
        <v>-999</v>
      </c>
      <c r="AR17" s="48">
        <v>10.7</v>
      </c>
      <c r="AS17" s="55">
        <f t="shared" si="5"/>
        <v>0.22130952901394643</v>
      </c>
      <c r="AT17" s="149">
        <f t="shared" si="6"/>
        <v>2087.4629999999997</v>
      </c>
      <c r="AU17" s="48">
        <v>0.56999999999999995</v>
      </c>
      <c r="AV17" s="55">
        <f t="shared" si="7"/>
        <v>5.3898743779077378E-2</v>
      </c>
      <c r="AW17" s="149">
        <f t="shared" si="8"/>
        <v>111.20129999999999</v>
      </c>
      <c r="AX17" s="48">
        <v>0.39</v>
      </c>
      <c r="AY17" s="55">
        <f t="shared" si="9"/>
        <v>4.4623771100783416E-2</v>
      </c>
      <c r="AZ17" s="149">
        <f t="shared" si="10"/>
        <v>76.085100000000011</v>
      </c>
      <c r="BA17" s="75">
        <v>11.7</v>
      </c>
      <c r="BB17" s="55">
        <f t="shared" si="11"/>
        <v>0.23012074867943086</v>
      </c>
      <c r="BC17" s="55">
        <f t="shared" si="12"/>
        <v>2282.5529999999999</v>
      </c>
      <c r="BD17" s="55">
        <v>-999</v>
      </c>
      <c r="BE17" s="48">
        <v>-999</v>
      </c>
      <c r="BF17" s="48">
        <v>9.0399999999999991</v>
      </c>
      <c r="BG17" s="48">
        <v>0.72</v>
      </c>
      <c r="BH17" s="48">
        <v>0.28999999999999998</v>
      </c>
      <c r="BI17" s="75">
        <v>10</v>
      </c>
      <c r="BJ17" s="81">
        <f t="shared" si="13"/>
        <v>1950.9</v>
      </c>
      <c r="BK17" s="55">
        <f t="shared" si="14"/>
        <v>0.21478490218297747</v>
      </c>
      <c r="BL17" s="136">
        <v>-999</v>
      </c>
      <c r="BM17" s="48">
        <v>-999</v>
      </c>
      <c r="BN17" s="48">
        <v>11.8</v>
      </c>
      <c r="BO17" s="48">
        <v>0.47</v>
      </c>
      <c r="BP17" s="48">
        <v>0.45</v>
      </c>
      <c r="BQ17" s="75">
        <v>12.8</v>
      </c>
      <c r="BR17" s="81">
        <f t="shared" si="15"/>
        <v>2497.152</v>
      </c>
      <c r="BS17" s="55">
        <f t="shared" si="16"/>
        <v>0.2391914893095099</v>
      </c>
      <c r="BT17" s="73">
        <v>-999</v>
      </c>
      <c r="BU17" s="48">
        <v>-999</v>
      </c>
      <c r="BV17" s="55">
        <f t="shared" si="17"/>
        <v>-999</v>
      </c>
      <c r="BW17" s="48">
        <v>-999</v>
      </c>
      <c r="BX17" s="55">
        <f t="shared" si="18"/>
        <v>-999</v>
      </c>
      <c r="BY17" s="48">
        <v>-999</v>
      </c>
      <c r="BZ17" s="55">
        <f t="shared" si="19"/>
        <v>-999</v>
      </c>
      <c r="CA17" s="48">
        <v>-999</v>
      </c>
      <c r="CB17" s="55">
        <f t="shared" si="20"/>
        <v>-999</v>
      </c>
      <c r="CC17" s="48">
        <v>-999</v>
      </c>
      <c r="CD17" s="55">
        <f t="shared" si="21"/>
        <v>-999</v>
      </c>
      <c r="CE17" s="55">
        <v>-999</v>
      </c>
      <c r="CF17" s="155" t="s">
        <v>555</v>
      </c>
      <c r="CG17" s="7" t="b">
        <v>0</v>
      </c>
      <c r="CH17" s="10" t="b">
        <v>0</v>
      </c>
    </row>
    <row r="18" spans="1:86" ht="21" customHeight="1">
      <c r="A18" s="32" t="s">
        <v>667</v>
      </c>
      <c r="B18" s="23" t="s">
        <v>420</v>
      </c>
      <c r="C18" s="7" t="s">
        <v>138</v>
      </c>
      <c r="D18" s="8" t="s">
        <v>111</v>
      </c>
      <c r="E18" s="7" t="s">
        <v>133</v>
      </c>
      <c r="F18">
        <v>2</v>
      </c>
      <c r="G18" s="7">
        <v>2375</v>
      </c>
      <c r="H18" s="7" t="s">
        <v>23</v>
      </c>
      <c r="I18" s="7" t="s">
        <v>399</v>
      </c>
      <c r="J18" t="s">
        <v>529</v>
      </c>
      <c r="K18" t="s">
        <v>530</v>
      </c>
      <c r="L18" s="44">
        <v>49</v>
      </c>
      <c r="M18" s="9">
        <v>48.3</v>
      </c>
      <c r="N18" s="9">
        <v>-999</v>
      </c>
      <c r="O18" s="9">
        <v>-999</v>
      </c>
      <c r="P18" s="9">
        <v>120.5</v>
      </c>
      <c r="Q18" s="9">
        <v>-999</v>
      </c>
      <c r="R18" s="9">
        <v>-999</v>
      </c>
      <c r="S18" s="100">
        <v>16.7</v>
      </c>
      <c r="T18" s="101" t="s">
        <v>130</v>
      </c>
      <c r="U18" s="102">
        <v>45.4</v>
      </c>
      <c r="V18" s="101" t="s">
        <v>124</v>
      </c>
      <c r="W18" s="102">
        <v>-999</v>
      </c>
      <c r="X18" s="101">
        <v>-999</v>
      </c>
      <c r="Y18" s="102">
        <v>42.8</v>
      </c>
      <c r="Z18" s="101" t="s">
        <v>80</v>
      </c>
      <c r="AA18" s="102">
        <v>69.099999999999994</v>
      </c>
      <c r="AB18" s="101" t="s">
        <v>102</v>
      </c>
      <c r="AC18" s="64">
        <v>25</v>
      </c>
      <c r="AD18" s="131">
        <f>AC18/28</f>
        <v>0.8928571428571429</v>
      </c>
      <c r="AE18" s="144">
        <f t="shared" si="0"/>
        <v>0.75</v>
      </c>
      <c r="AF18" s="146">
        <f t="shared" si="1"/>
        <v>0.84428571428571431</v>
      </c>
      <c r="AG18" s="9" t="b">
        <v>0</v>
      </c>
      <c r="AH18" s="9" t="b">
        <v>1</v>
      </c>
      <c r="AI18" s="9" t="b">
        <v>1</v>
      </c>
      <c r="AJ18" s="9" t="b">
        <v>1</v>
      </c>
      <c r="AK18" s="71" t="s">
        <v>190</v>
      </c>
      <c r="AL18" s="45">
        <v>-999</v>
      </c>
      <c r="AM18" s="44">
        <f t="shared" si="2"/>
        <v>-999</v>
      </c>
      <c r="AN18" s="149">
        <f t="shared" si="22"/>
        <v>-999</v>
      </c>
      <c r="AO18" s="45">
        <v>-999</v>
      </c>
      <c r="AP18" s="44">
        <f t="shared" si="3"/>
        <v>-999</v>
      </c>
      <c r="AQ18" s="149">
        <f t="shared" si="4"/>
        <v>-999</v>
      </c>
      <c r="AR18" s="45">
        <v>-999</v>
      </c>
      <c r="AS18" s="44">
        <f t="shared" si="5"/>
        <v>-999</v>
      </c>
      <c r="AT18" s="149">
        <f t="shared" si="6"/>
        <v>-999</v>
      </c>
      <c r="AU18" s="45">
        <v>-999</v>
      </c>
      <c r="AV18" s="44">
        <f t="shared" si="7"/>
        <v>-999</v>
      </c>
      <c r="AW18" s="149">
        <f t="shared" si="8"/>
        <v>-999</v>
      </c>
      <c r="AX18" s="45">
        <v>-999</v>
      </c>
      <c r="AY18" s="44">
        <f t="shared" si="9"/>
        <v>-999</v>
      </c>
      <c r="AZ18" s="149">
        <f t="shared" si="10"/>
        <v>-999</v>
      </c>
      <c r="BA18" s="76">
        <v>6.2</v>
      </c>
      <c r="BB18" s="44">
        <f t="shared" si="11"/>
        <v>0.49484075056633381</v>
      </c>
      <c r="BC18" s="55">
        <f t="shared" si="12"/>
        <v>147.25</v>
      </c>
      <c r="BD18" s="44">
        <v>-999</v>
      </c>
      <c r="BE18" s="45">
        <v>-999</v>
      </c>
      <c r="BF18" s="45">
        <v>-999</v>
      </c>
      <c r="BG18" s="45">
        <v>-999</v>
      </c>
      <c r="BH18" s="45">
        <v>-999</v>
      </c>
      <c r="BI18" s="76">
        <v>-999</v>
      </c>
      <c r="BJ18" s="81">
        <f t="shared" si="13"/>
        <v>-999</v>
      </c>
      <c r="BK18" s="44">
        <f t="shared" si="14"/>
        <v>-999</v>
      </c>
      <c r="BL18" s="137">
        <v>-999</v>
      </c>
      <c r="BM18" s="45">
        <v>-999</v>
      </c>
      <c r="BN18" s="45">
        <v>-999</v>
      </c>
      <c r="BO18" s="45">
        <v>-999</v>
      </c>
      <c r="BP18" s="45">
        <v>-999</v>
      </c>
      <c r="BQ18" s="76">
        <v>-999</v>
      </c>
      <c r="BR18" s="81">
        <f t="shared" si="15"/>
        <v>-999</v>
      </c>
      <c r="BS18" s="44">
        <f t="shared" si="16"/>
        <v>-999</v>
      </c>
      <c r="BT18" s="71">
        <v>-999</v>
      </c>
      <c r="BU18" s="48">
        <v>-999</v>
      </c>
      <c r="BV18" s="44">
        <f t="shared" si="17"/>
        <v>-999</v>
      </c>
      <c r="BW18" s="48">
        <v>-999</v>
      </c>
      <c r="BX18" s="44">
        <f t="shared" si="18"/>
        <v>-999</v>
      </c>
      <c r="BY18" s="48">
        <v>-999</v>
      </c>
      <c r="BZ18" s="44">
        <f t="shared" si="19"/>
        <v>-999</v>
      </c>
      <c r="CA18" s="48">
        <v>-999</v>
      </c>
      <c r="CB18" s="44">
        <f t="shared" si="20"/>
        <v>-999</v>
      </c>
      <c r="CC18" s="48">
        <v>-999</v>
      </c>
      <c r="CD18" s="44">
        <f t="shared" si="21"/>
        <v>-999</v>
      </c>
      <c r="CE18" s="55">
        <v>-999</v>
      </c>
      <c r="CF18" s="129" t="s">
        <v>555</v>
      </c>
      <c r="CG18" s="7" t="b">
        <v>0</v>
      </c>
      <c r="CH18" s="7" t="b">
        <v>0</v>
      </c>
    </row>
    <row r="19" spans="1:86" ht="21" customHeight="1">
      <c r="A19" s="10" t="s">
        <v>668</v>
      </c>
      <c r="B19" s="23" t="s">
        <v>421</v>
      </c>
      <c r="C19" s="7" t="s">
        <v>108</v>
      </c>
      <c r="D19" s="8">
        <v>2004</v>
      </c>
      <c r="E19" s="7" t="s">
        <v>109</v>
      </c>
      <c r="F19">
        <v>4</v>
      </c>
      <c r="G19" s="7">
        <v>7202</v>
      </c>
      <c r="H19" s="7" t="s">
        <v>29</v>
      </c>
      <c r="I19" s="7" t="s">
        <v>389</v>
      </c>
      <c r="J19" t="s">
        <v>522</v>
      </c>
      <c r="K19"/>
      <c r="L19" s="44">
        <v>52.7</v>
      </c>
      <c r="M19" s="9">
        <v>60.6</v>
      </c>
      <c r="N19" s="9">
        <v>75.599999999999994</v>
      </c>
      <c r="O19" s="9">
        <v>28.1</v>
      </c>
      <c r="P19" s="9">
        <v>-999</v>
      </c>
      <c r="Q19" s="9">
        <v>-999</v>
      </c>
      <c r="R19" s="9">
        <v>88.4</v>
      </c>
      <c r="S19" s="100">
        <v>31.5</v>
      </c>
      <c r="T19" s="101" t="s">
        <v>41</v>
      </c>
      <c r="U19" s="102">
        <v>66.7</v>
      </c>
      <c r="V19" s="101" t="s">
        <v>24</v>
      </c>
      <c r="W19" s="102">
        <v>-999</v>
      </c>
      <c r="X19" s="101">
        <v>-999</v>
      </c>
      <c r="Y19" s="102">
        <v>32.1</v>
      </c>
      <c r="Z19" s="101" t="s">
        <v>64</v>
      </c>
      <c r="AA19" s="102">
        <v>18.600000000000001</v>
      </c>
      <c r="AB19" s="101" t="s">
        <v>110</v>
      </c>
      <c r="AC19" s="64">
        <v>22</v>
      </c>
      <c r="AD19" s="131">
        <f>AC19/28</f>
        <v>0.7857142857142857</v>
      </c>
      <c r="AE19" s="144">
        <f t="shared" si="0"/>
        <v>0</v>
      </c>
      <c r="AF19" s="146">
        <f t="shared" si="1"/>
        <v>0.51857142857142857</v>
      </c>
      <c r="AG19" s="9" t="b">
        <v>0</v>
      </c>
      <c r="AH19" s="9" t="b">
        <v>0</v>
      </c>
      <c r="AI19" s="9" t="b">
        <v>0</v>
      </c>
      <c r="AJ19" s="9" t="b">
        <v>0</v>
      </c>
      <c r="AK19" s="71" t="s">
        <v>190</v>
      </c>
      <c r="AL19" s="45">
        <v>-999</v>
      </c>
      <c r="AM19" s="44">
        <f t="shared" si="2"/>
        <v>-999</v>
      </c>
      <c r="AN19" s="149">
        <f t="shared" si="22"/>
        <v>-999</v>
      </c>
      <c r="AO19" s="45">
        <v>-999</v>
      </c>
      <c r="AP19" s="44">
        <f t="shared" si="3"/>
        <v>-999</v>
      </c>
      <c r="AQ19" s="149">
        <f t="shared" si="4"/>
        <v>-999</v>
      </c>
      <c r="AR19" s="45">
        <v>19.7</v>
      </c>
      <c r="AS19" s="44">
        <f t="shared" si="5"/>
        <v>0.46866694858079117</v>
      </c>
      <c r="AT19" s="149">
        <f t="shared" si="6"/>
        <v>1418.7939999999999</v>
      </c>
      <c r="AU19" s="45">
        <v>1.2</v>
      </c>
      <c r="AV19" s="44">
        <f t="shared" si="7"/>
        <v>0.12830469150742649</v>
      </c>
      <c r="AW19" s="149">
        <f t="shared" si="8"/>
        <v>86.424000000000007</v>
      </c>
      <c r="AX19" s="45">
        <v>0.4</v>
      </c>
      <c r="AY19" s="44">
        <f t="shared" si="9"/>
        <v>7.4376049391806656E-2</v>
      </c>
      <c r="AZ19" s="149">
        <f t="shared" si="10"/>
        <v>28.808</v>
      </c>
      <c r="BA19" s="76">
        <v>21.299999999999997</v>
      </c>
      <c r="BB19" s="44">
        <f t="shared" si="11"/>
        <v>0.48244810999651694</v>
      </c>
      <c r="BC19" s="55">
        <f t="shared" si="12"/>
        <v>1534.0259999999998</v>
      </c>
      <c r="BD19" s="44">
        <v>-999</v>
      </c>
      <c r="BE19" s="45">
        <v>-999</v>
      </c>
      <c r="BF19" s="45">
        <v>-999</v>
      </c>
      <c r="BG19" s="45">
        <v>-999</v>
      </c>
      <c r="BH19" s="45">
        <v>-999</v>
      </c>
      <c r="BI19" s="76">
        <v>13.4</v>
      </c>
      <c r="BJ19" s="81">
        <f t="shared" si="13"/>
        <v>965.0680000000001</v>
      </c>
      <c r="BK19" s="44">
        <f t="shared" si="14"/>
        <v>0.40140685668429804</v>
      </c>
      <c r="BL19" s="137">
        <v>-999</v>
      </c>
      <c r="BM19" s="45">
        <v>-999</v>
      </c>
      <c r="BN19" s="45">
        <v>-999</v>
      </c>
      <c r="BO19" s="45">
        <v>-999</v>
      </c>
      <c r="BP19" s="45">
        <v>-999</v>
      </c>
      <c r="BQ19" s="76">
        <v>28.300000000000004</v>
      </c>
      <c r="BR19" s="81">
        <f t="shared" si="15"/>
        <v>2038.1660000000002</v>
      </c>
      <c r="BS19" s="44">
        <f t="shared" si="16"/>
        <v>0.53079428360515946</v>
      </c>
      <c r="BT19" s="71">
        <v>-999</v>
      </c>
      <c r="BU19" s="48">
        <v>-999</v>
      </c>
      <c r="BV19" s="44">
        <f t="shared" si="17"/>
        <v>-999</v>
      </c>
      <c r="BW19" s="48">
        <v>-999</v>
      </c>
      <c r="BX19" s="44">
        <f t="shared" si="18"/>
        <v>-999</v>
      </c>
      <c r="BY19" s="48">
        <v>-999</v>
      </c>
      <c r="BZ19" s="44">
        <f t="shared" si="19"/>
        <v>-999</v>
      </c>
      <c r="CA19" s="48">
        <v>-999</v>
      </c>
      <c r="CB19" s="44">
        <f t="shared" si="20"/>
        <v>-999</v>
      </c>
      <c r="CC19" s="48">
        <v>-999</v>
      </c>
      <c r="CD19" s="44">
        <f t="shared" si="21"/>
        <v>-999</v>
      </c>
      <c r="CE19" s="55">
        <v>-999</v>
      </c>
      <c r="CF19" s="129" t="s">
        <v>555</v>
      </c>
      <c r="CG19" s="7" t="b">
        <v>0</v>
      </c>
      <c r="CH19" s="10" t="b">
        <v>0</v>
      </c>
    </row>
    <row r="20" spans="1:86" ht="21" customHeight="1">
      <c r="A20" s="10" t="s">
        <v>603</v>
      </c>
      <c r="B20" s="23" t="s">
        <v>465</v>
      </c>
      <c r="C20" s="38" t="s">
        <v>208</v>
      </c>
      <c r="D20" s="67" t="s">
        <v>707</v>
      </c>
      <c r="E20" s="38" t="s">
        <v>207</v>
      </c>
      <c r="F20">
        <v>4</v>
      </c>
      <c r="G20" s="38">
        <v>230426</v>
      </c>
      <c r="H20" s="38" t="s">
        <v>29</v>
      </c>
      <c r="I20" s="38" t="s">
        <v>209</v>
      </c>
      <c r="J20" t="s">
        <v>531</v>
      </c>
      <c r="K20"/>
      <c r="L20" s="48">
        <v>-999</v>
      </c>
      <c r="M20" s="40">
        <v>-999</v>
      </c>
      <c r="N20" s="40">
        <v>-999</v>
      </c>
      <c r="O20" s="40">
        <v>-999</v>
      </c>
      <c r="P20" s="40">
        <v>-999</v>
      </c>
      <c r="Q20" s="40">
        <v>-999</v>
      </c>
      <c r="R20" s="40">
        <v>85</v>
      </c>
      <c r="S20" s="96">
        <v>-999</v>
      </c>
      <c r="T20" s="114">
        <v>-999</v>
      </c>
      <c r="U20" s="98">
        <v>-999</v>
      </c>
      <c r="V20" s="114">
        <v>-999</v>
      </c>
      <c r="W20" s="98">
        <v>-999</v>
      </c>
      <c r="X20" s="114">
        <v>-999</v>
      </c>
      <c r="Y20" s="98">
        <v>-999</v>
      </c>
      <c r="Z20" s="114">
        <v>-999</v>
      </c>
      <c r="AA20" s="98">
        <v>-999</v>
      </c>
      <c r="AB20" s="114">
        <v>-999</v>
      </c>
      <c r="AC20" s="63">
        <v>20</v>
      </c>
      <c r="AD20" s="132">
        <v>0.7142857142857143</v>
      </c>
      <c r="AE20" s="144">
        <f t="shared" si="0"/>
        <v>0</v>
      </c>
      <c r="AF20" s="146">
        <f t="shared" si="1"/>
        <v>0.47142857142857147</v>
      </c>
      <c r="AG20" s="29" t="b">
        <v>0</v>
      </c>
      <c r="AH20" s="29" t="b">
        <v>0</v>
      </c>
      <c r="AI20" s="29" t="b">
        <v>0</v>
      </c>
      <c r="AJ20" s="29" t="b">
        <v>0</v>
      </c>
      <c r="AK20" s="73" t="s">
        <v>190</v>
      </c>
      <c r="AL20" s="48">
        <v>-999</v>
      </c>
      <c r="AM20" s="55">
        <f t="shared" si="2"/>
        <v>-999</v>
      </c>
      <c r="AN20" s="149">
        <f t="shared" si="22"/>
        <v>-999</v>
      </c>
      <c r="AO20" s="48">
        <v>-999</v>
      </c>
      <c r="AP20" s="55">
        <f t="shared" si="3"/>
        <v>-999</v>
      </c>
      <c r="AQ20" s="149">
        <f t="shared" si="4"/>
        <v>-999</v>
      </c>
      <c r="AR20" s="48">
        <v>-999</v>
      </c>
      <c r="AS20" s="55">
        <f t="shared" si="5"/>
        <v>-999</v>
      </c>
      <c r="AT20" s="149">
        <f t="shared" si="6"/>
        <v>-999</v>
      </c>
      <c r="AU20" s="48">
        <v>-999</v>
      </c>
      <c r="AV20" s="55">
        <f t="shared" si="7"/>
        <v>-999</v>
      </c>
      <c r="AW20" s="149">
        <f t="shared" si="8"/>
        <v>-999</v>
      </c>
      <c r="AX20" s="48">
        <v>-999</v>
      </c>
      <c r="AY20" s="55">
        <f t="shared" si="9"/>
        <v>-999</v>
      </c>
      <c r="AZ20" s="149">
        <f t="shared" si="10"/>
        <v>-999</v>
      </c>
      <c r="BA20" s="75">
        <f>4.49-0.17</f>
        <v>4.32</v>
      </c>
      <c r="BB20" s="55">
        <f t="shared" si="11"/>
        <v>4.2353247513342358E-2</v>
      </c>
      <c r="BC20" s="55">
        <f t="shared" si="12"/>
        <v>9954.4032000000007</v>
      </c>
      <c r="BD20" s="55">
        <v>-999</v>
      </c>
      <c r="BE20" s="48">
        <v>-999</v>
      </c>
      <c r="BF20" s="48">
        <v>-999</v>
      </c>
      <c r="BG20" s="48">
        <v>-999</v>
      </c>
      <c r="BH20" s="48">
        <v>-999</v>
      </c>
      <c r="BI20" s="75">
        <v>-999</v>
      </c>
      <c r="BJ20" s="81">
        <f t="shared" si="13"/>
        <v>-999</v>
      </c>
      <c r="BK20" s="55">
        <f t="shared" si="14"/>
        <v>-999</v>
      </c>
      <c r="BL20" s="136">
        <v>-999</v>
      </c>
      <c r="BM20" s="48">
        <v>-999</v>
      </c>
      <c r="BN20" s="48">
        <v>-999</v>
      </c>
      <c r="BO20" s="48">
        <v>-999</v>
      </c>
      <c r="BP20" s="48">
        <v>-999</v>
      </c>
      <c r="BQ20" s="75">
        <v>-999</v>
      </c>
      <c r="BR20" s="81">
        <f t="shared" si="15"/>
        <v>-999</v>
      </c>
      <c r="BS20" s="55">
        <f t="shared" si="16"/>
        <v>-999</v>
      </c>
      <c r="BT20" s="73">
        <v>-999</v>
      </c>
      <c r="BU20" s="29">
        <v>-999</v>
      </c>
      <c r="BV20" s="55">
        <f t="shared" si="17"/>
        <v>-999</v>
      </c>
      <c r="BW20" s="29">
        <v>-999</v>
      </c>
      <c r="BX20" s="55">
        <f t="shared" si="18"/>
        <v>-999</v>
      </c>
      <c r="BY20" s="29">
        <v>-999</v>
      </c>
      <c r="BZ20" s="55">
        <f t="shared" si="19"/>
        <v>-999</v>
      </c>
      <c r="CA20" s="29">
        <v>-999</v>
      </c>
      <c r="CB20" s="55">
        <f t="shared" si="20"/>
        <v>-999</v>
      </c>
      <c r="CC20" s="29">
        <v>-999</v>
      </c>
      <c r="CD20" s="55">
        <f t="shared" si="21"/>
        <v>-999</v>
      </c>
      <c r="CE20" s="29">
        <v>-999</v>
      </c>
      <c r="CF20" s="155" t="s">
        <v>555</v>
      </c>
      <c r="CG20" s="7" t="b">
        <v>0</v>
      </c>
      <c r="CH20" s="10" t="b">
        <v>0</v>
      </c>
    </row>
    <row r="21" spans="1:86" ht="21" customHeight="1">
      <c r="A21" s="10" t="s">
        <v>604</v>
      </c>
      <c r="B21" s="23" t="s">
        <v>466</v>
      </c>
      <c r="C21" s="32" t="s">
        <v>210</v>
      </c>
      <c r="D21" s="31" t="s">
        <v>379</v>
      </c>
      <c r="E21" s="32" t="s">
        <v>109</v>
      </c>
      <c r="F21">
        <v>4</v>
      </c>
      <c r="G21" s="32">
        <v>447140</v>
      </c>
      <c r="H21" s="32" t="s">
        <v>23</v>
      </c>
      <c r="I21" s="32" t="s">
        <v>380</v>
      </c>
      <c r="J21" t="s">
        <v>531</v>
      </c>
      <c r="K21" t="s">
        <v>524</v>
      </c>
      <c r="L21" s="43">
        <v>58.7</v>
      </c>
      <c r="M21" s="33">
        <v>56.6</v>
      </c>
      <c r="N21" s="33">
        <v>-999</v>
      </c>
      <c r="O21" s="33">
        <v>-999</v>
      </c>
      <c r="P21" s="33">
        <v>-999</v>
      </c>
      <c r="Q21" s="33">
        <v>-999</v>
      </c>
      <c r="R21" s="33">
        <v>78.8</v>
      </c>
      <c r="S21" s="103">
        <v>11</v>
      </c>
      <c r="T21" s="115" t="s">
        <v>381</v>
      </c>
      <c r="U21" s="105">
        <v>32.5</v>
      </c>
      <c r="V21" s="115" t="s">
        <v>381</v>
      </c>
      <c r="W21" s="105">
        <v>-999</v>
      </c>
      <c r="X21" s="115">
        <v>-999</v>
      </c>
      <c r="Y21" s="105">
        <v>-999</v>
      </c>
      <c r="Z21" s="115">
        <v>-999</v>
      </c>
      <c r="AA21" s="105">
        <v>-999</v>
      </c>
      <c r="AB21" s="115">
        <v>-999</v>
      </c>
      <c r="AC21" s="63">
        <v>18</v>
      </c>
      <c r="AD21" s="132">
        <v>0.6428571428571429</v>
      </c>
      <c r="AE21" s="144">
        <f t="shared" si="0"/>
        <v>0.5</v>
      </c>
      <c r="AF21" s="146">
        <f t="shared" si="1"/>
        <v>0.59428571428571431</v>
      </c>
      <c r="AG21" s="34" t="b">
        <v>0</v>
      </c>
      <c r="AH21" s="34" t="b">
        <v>1</v>
      </c>
      <c r="AI21" s="34" t="b">
        <v>0</v>
      </c>
      <c r="AJ21" s="34" t="b">
        <v>1</v>
      </c>
      <c r="AK21" s="72" t="s">
        <v>190</v>
      </c>
      <c r="AL21" s="43">
        <v>-999</v>
      </c>
      <c r="AM21" s="55">
        <f t="shared" si="2"/>
        <v>-999</v>
      </c>
      <c r="AN21" s="149">
        <f t="shared" si="22"/>
        <v>-999</v>
      </c>
      <c r="AO21" s="43">
        <v>-999</v>
      </c>
      <c r="AP21" s="55">
        <f t="shared" si="3"/>
        <v>-999</v>
      </c>
      <c r="AQ21" s="149">
        <f t="shared" si="4"/>
        <v>-999</v>
      </c>
      <c r="AR21" s="43">
        <f>10.5+2.9</f>
        <v>13.4</v>
      </c>
      <c r="AS21" s="55">
        <f t="shared" si="5"/>
        <v>5.094359439520281E-2</v>
      </c>
      <c r="AT21" s="149">
        <f t="shared" si="6"/>
        <v>59916.76</v>
      </c>
      <c r="AU21" s="43">
        <v>0.7</v>
      </c>
      <c r="AV21" s="55">
        <f t="shared" si="7"/>
        <v>1.2468146110868467E-2</v>
      </c>
      <c r="AW21" s="149">
        <f t="shared" si="8"/>
        <v>3129.9799999999996</v>
      </c>
      <c r="AX21" s="43">
        <v>0</v>
      </c>
      <c r="AY21" s="55">
        <f t="shared" si="9"/>
        <v>0</v>
      </c>
      <c r="AZ21" s="149">
        <f t="shared" si="10"/>
        <v>0</v>
      </c>
      <c r="BA21" s="77">
        <v>14.1</v>
      </c>
      <c r="BB21" s="55">
        <f t="shared" si="11"/>
        <v>5.2045642831008369E-2</v>
      </c>
      <c r="BC21" s="55">
        <f t="shared" si="12"/>
        <v>63046.739999999991</v>
      </c>
      <c r="BD21" s="55">
        <v>-999</v>
      </c>
      <c r="BE21" s="48">
        <v>-999</v>
      </c>
      <c r="BF21" s="48">
        <v>-999</v>
      </c>
      <c r="BG21" s="48">
        <v>-999</v>
      </c>
      <c r="BH21" s="48">
        <v>-999</v>
      </c>
      <c r="BI21" s="75">
        <v>-999</v>
      </c>
      <c r="BJ21" s="81">
        <f t="shared" si="13"/>
        <v>-999</v>
      </c>
      <c r="BK21" s="55">
        <f t="shared" si="14"/>
        <v>-999</v>
      </c>
      <c r="BL21" s="136">
        <v>-999</v>
      </c>
      <c r="BM21" s="48">
        <v>-999</v>
      </c>
      <c r="BN21" s="48">
        <v>-999</v>
      </c>
      <c r="BO21" s="48">
        <v>-999</v>
      </c>
      <c r="BP21" s="48">
        <v>-999</v>
      </c>
      <c r="BQ21" s="75">
        <v>-999</v>
      </c>
      <c r="BR21" s="81">
        <f t="shared" si="15"/>
        <v>-999</v>
      </c>
      <c r="BS21" s="55">
        <f t="shared" si="16"/>
        <v>-999</v>
      </c>
      <c r="BT21" s="72" t="s">
        <v>192</v>
      </c>
      <c r="BU21" s="43">
        <v>-999</v>
      </c>
      <c r="BV21" s="55">
        <f t="shared" si="17"/>
        <v>-999</v>
      </c>
      <c r="BW21" s="43">
        <v>-999</v>
      </c>
      <c r="BX21" s="55">
        <f t="shared" si="18"/>
        <v>-999</v>
      </c>
      <c r="BY21" s="43">
        <v>11.5</v>
      </c>
      <c r="BZ21" s="55">
        <f t="shared" si="19"/>
        <v>4.770883309033961E-2</v>
      </c>
      <c r="CA21" s="43">
        <v>0.8</v>
      </c>
      <c r="CB21" s="55">
        <f t="shared" si="20"/>
        <v>1.332229568037302E-2</v>
      </c>
      <c r="CC21" s="43">
        <v>0</v>
      </c>
      <c r="CD21" s="55">
        <f t="shared" si="21"/>
        <v>0</v>
      </c>
      <c r="CE21" s="56">
        <v>12.3</v>
      </c>
      <c r="CF21" s="155" t="s">
        <v>555</v>
      </c>
      <c r="CG21" s="7" t="b">
        <v>1</v>
      </c>
      <c r="CH21" s="10" t="b">
        <v>0</v>
      </c>
    </row>
    <row r="22" spans="1:86" ht="21" customHeight="1">
      <c r="A22" s="30" t="s">
        <v>605</v>
      </c>
      <c r="B22" s="23" t="s">
        <v>467</v>
      </c>
      <c r="C22" s="38" t="s">
        <v>211</v>
      </c>
      <c r="D22" s="38" t="s">
        <v>212</v>
      </c>
      <c r="E22" s="32" t="s">
        <v>28</v>
      </c>
      <c r="F22">
        <v>2</v>
      </c>
      <c r="G22" s="58">
        <v>123499</v>
      </c>
      <c r="H22" s="32" t="s">
        <v>29</v>
      </c>
      <c r="I22" s="38" t="s">
        <v>213</v>
      </c>
      <c r="J22" t="s">
        <v>531</v>
      </c>
      <c r="K22" t="s">
        <v>527</v>
      </c>
      <c r="L22" s="48">
        <v>54</v>
      </c>
      <c r="M22" s="40">
        <v>74</v>
      </c>
      <c r="N22" s="40">
        <v>-999</v>
      </c>
      <c r="O22" s="40">
        <v>-999</v>
      </c>
      <c r="P22" s="40">
        <v>-999</v>
      </c>
      <c r="Q22" s="40">
        <v>-999</v>
      </c>
      <c r="R22" s="40">
        <v>84</v>
      </c>
      <c r="S22" s="96">
        <v>23</v>
      </c>
      <c r="T22" s="112" t="s">
        <v>214</v>
      </c>
      <c r="U22" s="98">
        <v>-999</v>
      </c>
      <c r="V22" s="112">
        <v>-999</v>
      </c>
      <c r="W22" s="98">
        <v>-999</v>
      </c>
      <c r="X22" s="112">
        <v>-999</v>
      </c>
      <c r="Y22" s="98">
        <v>-999</v>
      </c>
      <c r="Z22" s="112">
        <v>-999</v>
      </c>
      <c r="AA22" s="98">
        <v>-999</v>
      </c>
      <c r="AB22" s="112">
        <v>-999</v>
      </c>
      <c r="AC22" s="63">
        <v>22</v>
      </c>
      <c r="AD22" s="132">
        <v>0.7857142857142857</v>
      </c>
      <c r="AE22" s="144">
        <f t="shared" si="0"/>
        <v>0</v>
      </c>
      <c r="AF22" s="146">
        <f t="shared" si="1"/>
        <v>0.51857142857142857</v>
      </c>
      <c r="AG22" s="29" t="b">
        <v>0</v>
      </c>
      <c r="AH22" s="29" t="b">
        <v>0</v>
      </c>
      <c r="AI22" s="29" t="b">
        <v>0</v>
      </c>
      <c r="AJ22" s="29" t="b">
        <v>0</v>
      </c>
      <c r="AK22" s="73" t="s">
        <v>192</v>
      </c>
      <c r="AL22" s="48">
        <v>-999</v>
      </c>
      <c r="AM22" s="55">
        <f t="shared" si="2"/>
        <v>-999</v>
      </c>
      <c r="AN22" s="149">
        <f t="shared" si="22"/>
        <v>-999</v>
      </c>
      <c r="AO22" s="48">
        <v>-999</v>
      </c>
      <c r="AP22" s="55">
        <f t="shared" si="3"/>
        <v>-999</v>
      </c>
      <c r="AQ22" s="149">
        <f t="shared" si="4"/>
        <v>-999</v>
      </c>
      <c r="AR22" s="48">
        <v>32</v>
      </c>
      <c r="AS22" s="55">
        <f t="shared" si="5"/>
        <v>0.13273875043487138</v>
      </c>
      <c r="AT22" s="149">
        <f t="shared" si="6"/>
        <v>39519.68</v>
      </c>
      <c r="AU22" s="48">
        <v>3.7</v>
      </c>
      <c r="AV22" s="55">
        <f t="shared" si="7"/>
        <v>5.3713355656740507E-2</v>
      </c>
      <c r="AW22" s="149">
        <f t="shared" si="8"/>
        <v>4569.4630000000006</v>
      </c>
      <c r="AX22" s="48">
        <v>0.5</v>
      </c>
      <c r="AY22" s="55">
        <f t="shared" si="9"/>
        <v>2.007080640974369E-2</v>
      </c>
      <c r="AZ22" s="149">
        <f t="shared" si="10"/>
        <v>617.495</v>
      </c>
      <c r="BA22" s="75">
        <f>AR22+AU22+AX22</f>
        <v>36.200000000000003</v>
      </c>
      <c r="BB22" s="55">
        <f t="shared" si="11"/>
        <v>0.13675175360375208</v>
      </c>
      <c r="BC22" s="55">
        <f t="shared" si="12"/>
        <v>44706.638000000006</v>
      </c>
      <c r="BD22" s="55">
        <v>-999</v>
      </c>
      <c r="BE22" s="48">
        <v>-999</v>
      </c>
      <c r="BF22" s="48">
        <v>-999</v>
      </c>
      <c r="BG22" s="48">
        <v>-999</v>
      </c>
      <c r="BH22" s="48">
        <v>-999</v>
      </c>
      <c r="BI22" s="75">
        <v>-999</v>
      </c>
      <c r="BJ22" s="81">
        <f t="shared" si="13"/>
        <v>-999</v>
      </c>
      <c r="BK22" s="55">
        <f t="shared" si="14"/>
        <v>-999</v>
      </c>
      <c r="BL22" s="136">
        <v>-999</v>
      </c>
      <c r="BM22" s="48">
        <v>-999</v>
      </c>
      <c r="BN22" s="48">
        <v>-999</v>
      </c>
      <c r="BO22" s="48">
        <v>-999</v>
      </c>
      <c r="BP22" s="48">
        <v>-999</v>
      </c>
      <c r="BQ22" s="75">
        <v>-999</v>
      </c>
      <c r="BR22" s="81">
        <f t="shared" si="15"/>
        <v>-999</v>
      </c>
      <c r="BS22" s="55">
        <f t="shared" si="16"/>
        <v>-999</v>
      </c>
      <c r="BT22" s="73">
        <v>-999</v>
      </c>
      <c r="BU22" s="29">
        <v>-999</v>
      </c>
      <c r="BV22" s="55">
        <f t="shared" si="17"/>
        <v>-999</v>
      </c>
      <c r="BW22" s="29">
        <v>-999</v>
      </c>
      <c r="BX22" s="55">
        <f t="shared" si="18"/>
        <v>-999</v>
      </c>
      <c r="BY22" s="29">
        <v>-999</v>
      </c>
      <c r="BZ22" s="55">
        <f t="shared" si="19"/>
        <v>-999</v>
      </c>
      <c r="CA22" s="29">
        <v>-999</v>
      </c>
      <c r="CB22" s="55">
        <f t="shared" si="20"/>
        <v>-999</v>
      </c>
      <c r="CC22" s="29">
        <v>-999</v>
      </c>
      <c r="CD22" s="55">
        <f t="shared" si="21"/>
        <v>-999</v>
      </c>
      <c r="CE22" s="29">
        <v>-999</v>
      </c>
      <c r="CF22" s="155" t="s">
        <v>555</v>
      </c>
      <c r="CG22" s="7" t="b">
        <v>0</v>
      </c>
      <c r="CH22" s="7" t="b">
        <v>0</v>
      </c>
    </row>
    <row r="23" spans="1:86" ht="21" customHeight="1">
      <c r="A23" s="35" t="s">
        <v>606</v>
      </c>
      <c r="B23" s="23" t="s">
        <v>468</v>
      </c>
      <c r="C23" s="38" t="s">
        <v>584</v>
      </c>
      <c r="D23" s="38" t="s">
        <v>216</v>
      </c>
      <c r="E23" s="32" t="s">
        <v>68</v>
      </c>
      <c r="F23">
        <v>1</v>
      </c>
      <c r="G23" s="38">
        <v>2536</v>
      </c>
      <c r="H23" s="38" t="s">
        <v>29</v>
      </c>
      <c r="I23" s="38" t="s">
        <v>215</v>
      </c>
      <c r="J23" t="s">
        <v>527</v>
      </c>
      <c r="K23"/>
      <c r="L23" s="48">
        <v>61</v>
      </c>
      <c r="M23" s="40">
        <v>51</v>
      </c>
      <c r="N23" s="40">
        <v>46</v>
      </c>
      <c r="O23" s="40">
        <v>20.2</v>
      </c>
      <c r="P23" s="40">
        <v>130</v>
      </c>
      <c r="Q23" s="40">
        <v>82</v>
      </c>
      <c r="R23" s="40">
        <v>61.9</v>
      </c>
      <c r="S23" s="96">
        <v>-99</v>
      </c>
      <c r="T23" s="112">
        <v>-999</v>
      </c>
      <c r="U23" s="98">
        <f>26+13.4</f>
        <v>39.4</v>
      </c>
      <c r="V23" s="110" t="s">
        <v>218</v>
      </c>
      <c r="W23" s="98"/>
      <c r="X23" s="112" t="s">
        <v>220</v>
      </c>
      <c r="Y23" s="98">
        <v>-999</v>
      </c>
      <c r="Z23" s="112" t="s">
        <v>217</v>
      </c>
      <c r="AA23" s="98">
        <v>11</v>
      </c>
      <c r="AB23" s="112" t="s">
        <v>25</v>
      </c>
      <c r="AC23" s="63">
        <v>24</v>
      </c>
      <c r="AD23" s="132">
        <v>0.8571428571428571</v>
      </c>
      <c r="AE23" s="144">
        <f t="shared" si="0"/>
        <v>0</v>
      </c>
      <c r="AF23" s="146">
        <f t="shared" si="1"/>
        <v>0.56571428571428573</v>
      </c>
      <c r="AG23" s="29" t="b">
        <v>0</v>
      </c>
      <c r="AH23" s="29" t="b">
        <v>0</v>
      </c>
      <c r="AI23" s="29" t="b">
        <v>0</v>
      </c>
      <c r="AJ23" s="29" t="b">
        <v>0</v>
      </c>
      <c r="AK23" s="73" t="s">
        <v>190</v>
      </c>
      <c r="AL23" s="48">
        <v>-999</v>
      </c>
      <c r="AM23" s="55">
        <f t="shared" si="2"/>
        <v>-999</v>
      </c>
      <c r="AN23" s="149">
        <f t="shared" si="22"/>
        <v>-999</v>
      </c>
      <c r="AO23" s="48">
        <v>-999</v>
      </c>
      <c r="AP23" s="55">
        <f t="shared" si="3"/>
        <v>-999</v>
      </c>
      <c r="AQ23" s="149">
        <f t="shared" si="4"/>
        <v>-999</v>
      </c>
      <c r="AR23" s="48">
        <v>3.5</v>
      </c>
      <c r="AS23" s="55">
        <f t="shared" si="5"/>
        <v>0.36494133317034866</v>
      </c>
      <c r="AT23" s="149">
        <f t="shared" si="6"/>
        <v>88.76</v>
      </c>
      <c r="AU23" s="48">
        <v>0.7</v>
      </c>
      <c r="AV23" s="55">
        <f t="shared" si="7"/>
        <v>0.1655575609680538</v>
      </c>
      <c r="AW23" s="149">
        <f t="shared" si="8"/>
        <v>17.751999999999999</v>
      </c>
      <c r="AX23" s="48">
        <v>0</v>
      </c>
      <c r="AY23" s="55">
        <f t="shared" si="9"/>
        <v>0</v>
      </c>
      <c r="AZ23" s="149">
        <f t="shared" si="10"/>
        <v>0</v>
      </c>
      <c r="BA23" s="75">
        <f>4.2</f>
        <v>4.2</v>
      </c>
      <c r="BB23" s="55">
        <f t="shared" si="11"/>
        <v>0.39832060704122607</v>
      </c>
      <c r="BC23" s="55">
        <f t="shared" si="12"/>
        <v>106.512</v>
      </c>
      <c r="BD23" s="55">
        <v>-999</v>
      </c>
      <c r="BE23" s="48">
        <v>-999</v>
      </c>
      <c r="BF23" s="48">
        <v>3.5</v>
      </c>
      <c r="BG23" s="48">
        <v>1.2</v>
      </c>
      <c r="BH23" s="48">
        <v>0</v>
      </c>
      <c r="BI23" s="75">
        <v>4.7</v>
      </c>
      <c r="BJ23" s="81">
        <f t="shared" si="13"/>
        <v>119.19200000000001</v>
      </c>
      <c r="BK23" s="55">
        <f t="shared" si="14"/>
        <v>0.42026261130460779</v>
      </c>
      <c r="BL23" s="136">
        <v>-999</v>
      </c>
      <c r="BM23" s="48">
        <v>-999</v>
      </c>
      <c r="BN23" s="48">
        <v>3.4</v>
      </c>
      <c r="BO23" s="48">
        <v>0.3</v>
      </c>
      <c r="BP23" s="48">
        <v>0</v>
      </c>
      <c r="BQ23" s="75">
        <v>3.7</v>
      </c>
      <c r="BR23" s="81">
        <f t="shared" si="15"/>
        <v>93.832000000000008</v>
      </c>
      <c r="BS23" s="55">
        <f t="shared" si="16"/>
        <v>0.37483434827071693</v>
      </c>
      <c r="BT23" s="73">
        <v>-999</v>
      </c>
      <c r="BU23" s="29">
        <v>-999</v>
      </c>
      <c r="BV23" s="55">
        <f t="shared" si="17"/>
        <v>-999</v>
      </c>
      <c r="BW23" s="29">
        <v>-999</v>
      </c>
      <c r="BX23" s="55">
        <f t="shared" si="18"/>
        <v>-999</v>
      </c>
      <c r="BY23" s="29">
        <v>-999</v>
      </c>
      <c r="BZ23" s="55">
        <f t="shared" si="19"/>
        <v>-999</v>
      </c>
      <c r="CA23" s="29">
        <v>-999</v>
      </c>
      <c r="CB23" s="55">
        <f t="shared" si="20"/>
        <v>-999</v>
      </c>
      <c r="CC23" s="29">
        <v>-999</v>
      </c>
      <c r="CD23" s="55">
        <f t="shared" si="21"/>
        <v>-999</v>
      </c>
      <c r="CE23" s="29">
        <v>-999</v>
      </c>
      <c r="CF23" s="155" t="s">
        <v>555</v>
      </c>
      <c r="CG23" s="7" t="b">
        <v>0</v>
      </c>
      <c r="CH23" s="10" t="b">
        <v>0</v>
      </c>
    </row>
    <row r="24" spans="1:86" ht="21" customHeight="1">
      <c r="A24" s="32" t="s">
        <v>607</v>
      </c>
      <c r="B24" s="23" t="s">
        <v>469</v>
      </c>
      <c r="C24" s="38" t="s">
        <v>221</v>
      </c>
      <c r="D24" s="68" t="s">
        <v>223</v>
      </c>
      <c r="E24" s="32" t="s">
        <v>177</v>
      </c>
      <c r="F24">
        <v>4</v>
      </c>
      <c r="G24" s="38">
        <v>3629</v>
      </c>
      <c r="H24" s="38" t="s">
        <v>29</v>
      </c>
      <c r="I24" s="38" t="s">
        <v>222</v>
      </c>
      <c r="J24" t="s">
        <v>527</v>
      </c>
      <c r="K24"/>
      <c r="L24" s="48">
        <v>52.2</v>
      </c>
      <c r="M24" s="40">
        <v>59.8</v>
      </c>
      <c r="N24" s="40">
        <v>-999</v>
      </c>
      <c r="O24" s="40">
        <v>-999</v>
      </c>
      <c r="P24" s="40">
        <v>-999</v>
      </c>
      <c r="Q24" s="40">
        <v>-999</v>
      </c>
      <c r="R24" s="40">
        <v>-999</v>
      </c>
      <c r="S24" s="96">
        <v>-999</v>
      </c>
      <c r="T24" s="112" t="s">
        <v>225</v>
      </c>
      <c r="U24" s="98">
        <v>-999</v>
      </c>
      <c r="V24" s="112">
        <v>-999</v>
      </c>
      <c r="W24" s="98">
        <v>-999</v>
      </c>
      <c r="X24" s="112" t="s">
        <v>224</v>
      </c>
      <c r="Y24" s="98">
        <v>-999</v>
      </c>
      <c r="Z24" s="112">
        <v>-999</v>
      </c>
      <c r="AA24" s="98">
        <v>-999</v>
      </c>
      <c r="AB24" s="112" t="s">
        <v>137</v>
      </c>
      <c r="AC24" s="63">
        <v>18</v>
      </c>
      <c r="AD24" s="132">
        <v>0.6428571428571429</v>
      </c>
      <c r="AE24" s="144">
        <f t="shared" si="0"/>
        <v>0.5</v>
      </c>
      <c r="AF24" s="146">
        <f t="shared" si="1"/>
        <v>0.59428571428571431</v>
      </c>
      <c r="AG24" s="29" t="b">
        <v>0</v>
      </c>
      <c r="AH24" s="29" t="b">
        <v>1</v>
      </c>
      <c r="AI24" s="29" t="b">
        <v>1</v>
      </c>
      <c r="AJ24" s="29" t="b">
        <v>0</v>
      </c>
      <c r="AK24" s="73" t="s">
        <v>192</v>
      </c>
      <c r="AL24" s="48">
        <v>1.7</v>
      </c>
      <c r="AM24" s="55">
        <f t="shared" si="2"/>
        <v>0.21458913814280758</v>
      </c>
      <c r="AN24" s="149">
        <f t="shared" si="22"/>
        <v>61.693000000000005</v>
      </c>
      <c r="AO24" s="48">
        <v>4.3</v>
      </c>
      <c r="AP24" s="55">
        <f t="shared" si="3"/>
        <v>0.33674155463961936</v>
      </c>
      <c r="AQ24" s="149">
        <f t="shared" si="4"/>
        <v>156.047</v>
      </c>
      <c r="AR24" s="48">
        <v>6.4</v>
      </c>
      <c r="AS24" s="55">
        <f t="shared" si="5"/>
        <v>0.40628840408171241</v>
      </c>
      <c r="AT24" s="149">
        <f t="shared" si="6"/>
        <v>232.256</v>
      </c>
      <c r="AU24" s="48">
        <v>0.3</v>
      </c>
      <c r="AV24" s="55">
        <f t="shared" si="7"/>
        <v>9.0785130546554363E-2</v>
      </c>
      <c r="AW24" s="149">
        <f t="shared" si="8"/>
        <v>10.887</v>
      </c>
      <c r="AX24" s="48">
        <v>0</v>
      </c>
      <c r="AY24" s="55">
        <f t="shared" si="9"/>
        <v>0</v>
      </c>
      <c r="AZ24" s="149">
        <f t="shared" si="10"/>
        <v>0</v>
      </c>
      <c r="BA24" s="75">
        <v>12.7</v>
      </c>
      <c r="BB24" s="55">
        <f t="shared" si="11"/>
        <v>0.55273313242400302</v>
      </c>
      <c r="BC24" s="55">
        <f t="shared" si="12"/>
        <v>460.88299999999998</v>
      </c>
      <c r="BD24" s="55">
        <v>1.1000000000000001</v>
      </c>
      <c r="BE24" s="48">
        <v>5</v>
      </c>
      <c r="BF24" s="48">
        <v>6.2</v>
      </c>
      <c r="BG24" s="48">
        <v>0.3</v>
      </c>
      <c r="BH24" s="48">
        <v>0</v>
      </c>
      <c r="BI24" s="75">
        <v>13.2</v>
      </c>
      <c r="BJ24" s="81">
        <f t="shared" si="13"/>
        <v>479.02800000000002</v>
      </c>
      <c r="BK24" s="55">
        <f t="shared" si="14"/>
        <v>0.56189264078026524</v>
      </c>
      <c r="BL24" s="136">
        <v>1.6</v>
      </c>
      <c r="BM24" s="48">
        <v>3.7</v>
      </c>
      <c r="BN24" s="48">
        <v>6.7</v>
      </c>
      <c r="BO24" s="48">
        <v>0.2</v>
      </c>
      <c r="BP24" s="48">
        <v>0</v>
      </c>
      <c r="BQ24" s="75">
        <v>12.2</v>
      </c>
      <c r="BR24" s="81">
        <f t="shared" si="15"/>
        <v>442.738</v>
      </c>
      <c r="BS24" s="55">
        <f t="shared" si="16"/>
        <v>0.54329247426501392</v>
      </c>
      <c r="BT24" s="73">
        <v>-999</v>
      </c>
      <c r="BU24" s="48">
        <v>-999</v>
      </c>
      <c r="BV24" s="55">
        <f t="shared" si="17"/>
        <v>-999</v>
      </c>
      <c r="BW24" s="48">
        <v>-999</v>
      </c>
      <c r="BX24" s="55">
        <f t="shared" si="18"/>
        <v>-999</v>
      </c>
      <c r="BY24" s="48">
        <v>-999</v>
      </c>
      <c r="BZ24" s="55">
        <f t="shared" si="19"/>
        <v>-999</v>
      </c>
      <c r="CA24" s="48">
        <v>-999</v>
      </c>
      <c r="CB24" s="55">
        <f t="shared" si="20"/>
        <v>-999</v>
      </c>
      <c r="CC24" s="48">
        <v>-99</v>
      </c>
      <c r="CD24" s="55" t="e">
        <f t="shared" si="21"/>
        <v>#NUM!</v>
      </c>
      <c r="CE24" s="55">
        <v>-999</v>
      </c>
      <c r="CF24" s="155" t="s">
        <v>556</v>
      </c>
      <c r="CG24" s="7" t="b">
        <v>1</v>
      </c>
      <c r="CH24" s="10" t="b">
        <v>0</v>
      </c>
    </row>
    <row r="25" spans="1:86" ht="21" customHeight="1">
      <c r="A25" s="32" t="s">
        <v>608</v>
      </c>
      <c r="B25" s="23" t="s">
        <v>470</v>
      </c>
      <c r="C25" s="38" t="s">
        <v>559</v>
      </c>
      <c r="D25" s="38" t="s">
        <v>229</v>
      </c>
      <c r="E25" s="32" t="s">
        <v>226</v>
      </c>
      <c r="F25">
        <v>9</v>
      </c>
      <c r="G25" s="38">
        <v>14989</v>
      </c>
      <c r="H25" s="38" t="s">
        <v>29</v>
      </c>
      <c r="I25" s="38" t="s">
        <v>227</v>
      </c>
      <c r="J25" t="s">
        <v>531</v>
      </c>
      <c r="K25" s="32" t="s">
        <v>528</v>
      </c>
      <c r="L25" s="48">
        <v>-999</v>
      </c>
      <c r="M25" s="48">
        <v>-999</v>
      </c>
      <c r="N25" s="48">
        <v>-999</v>
      </c>
      <c r="O25" s="48">
        <v>-999</v>
      </c>
      <c r="P25" s="48">
        <v>-999</v>
      </c>
      <c r="Q25" s="48">
        <v>-999</v>
      </c>
      <c r="R25" s="48">
        <v>-999</v>
      </c>
      <c r="S25" s="116">
        <v>-999</v>
      </c>
      <c r="T25" s="117">
        <v>-999</v>
      </c>
      <c r="U25" s="118">
        <v>-999</v>
      </c>
      <c r="V25" s="117">
        <v>-999</v>
      </c>
      <c r="W25" s="118">
        <v>-999</v>
      </c>
      <c r="X25" s="117">
        <v>-999</v>
      </c>
      <c r="Y25" s="118">
        <v>-999</v>
      </c>
      <c r="Z25" s="117">
        <v>-999</v>
      </c>
      <c r="AA25" s="118">
        <v>-999</v>
      </c>
      <c r="AB25" s="117">
        <v>-999</v>
      </c>
      <c r="AC25" s="63">
        <v>17</v>
      </c>
      <c r="AD25" s="132">
        <v>0.6071428571428571</v>
      </c>
      <c r="AE25" s="144">
        <f t="shared" si="0"/>
        <v>0</v>
      </c>
      <c r="AF25" s="146">
        <f t="shared" si="1"/>
        <v>0.40071428571428569</v>
      </c>
      <c r="AG25" s="29" t="b">
        <v>0</v>
      </c>
      <c r="AH25" s="29" t="b">
        <v>0</v>
      </c>
      <c r="AI25" s="29" t="b">
        <v>0</v>
      </c>
      <c r="AJ25" s="29" t="b">
        <v>0</v>
      </c>
      <c r="AK25" s="73" t="s">
        <v>190</v>
      </c>
      <c r="AL25" s="48">
        <v>-999</v>
      </c>
      <c r="AM25" s="55">
        <f t="shared" si="2"/>
        <v>-999</v>
      </c>
      <c r="AN25" s="149">
        <f t="shared" si="22"/>
        <v>-999</v>
      </c>
      <c r="AO25" s="48">
        <v>-999</v>
      </c>
      <c r="AP25" s="55">
        <f t="shared" si="3"/>
        <v>-999</v>
      </c>
      <c r="AQ25" s="149">
        <f t="shared" si="4"/>
        <v>-999</v>
      </c>
      <c r="AR25" s="48">
        <v>5.0999999999999996</v>
      </c>
      <c r="AS25" s="55">
        <f t="shared" si="5"/>
        <v>0.17969329174458684</v>
      </c>
      <c r="AT25" s="149">
        <f t="shared" si="6"/>
        <v>764.43899999999996</v>
      </c>
      <c r="AU25" s="48">
        <v>0.6</v>
      </c>
      <c r="AV25" s="55">
        <f t="shared" si="7"/>
        <v>6.3078664167109194E-2</v>
      </c>
      <c r="AW25" s="149">
        <f t="shared" si="8"/>
        <v>89.933999999999997</v>
      </c>
      <c r="AX25" s="48">
        <v>0.3</v>
      </c>
      <c r="AY25" s="55">
        <f t="shared" si="9"/>
        <v>4.4670609350920064E-2</v>
      </c>
      <c r="AZ25" s="149">
        <f t="shared" si="10"/>
        <v>44.966999999999999</v>
      </c>
      <c r="BA25" s="75">
        <v>6</v>
      </c>
      <c r="BB25" s="55">
        <f t="shared" si="11"/>
        <v>0.19397833272975873</v>
      </c>
      <c r="BC25" s="55">
        <f t="shared" si="12"/>
        <v>899.33999999999992</v>
      </c>
      <c r="BD25" s="55">
        <v>-999</v>
      </c>
      <c r="BE25" s="48">
        <v>-999</v>
      </c>
      <c r="BF25" s="48">
        <v>-999</v>
      </c>
      <c r="BG25" s="48">
        <v>-999</v>
      </c>
      <c r="BH25" s="48">
        <v>-999</v>
      </c>
      <c r="BI25" s="75">
        <v>-999</v>
      </c>
      <c r="BJ25" s="81">
        <f t="shared" si="13"/>
        <v>-999</v>
      </c>
      <c r="BK25" s="55">
        <f t="shared" si="14"/>
        <v>-999</v>
      </c>
      <c r="BL25" s="136">
        <v>-999</v>
      </c>
      <c r="BM25" s="48">
        <v>-999</v>
      </c>
      <c r="BN25" s="48">
        <v>-999</v>
      </c>
      <c r="BO25" s="48">
        <v>-999</v>
      </c>
      <c r="BP25" s="48">
        <v>-999</v>
      </c>
      <c r="BQ25" s="75">
        <v>-999</v>
      </c>
      <c r="BR25" s="81">
        <f t="shared" si="15"/>
        <v>-999</v>
      </c>
      <c r="BS25" s="55">
        <f t="shared" si="16"/>
        <v>-999</v>
      </c>
      <c r="BT25" s="73">
        <v>-999</v>
      </c>
      <c r="BU25" s="29">
        <v>-999</v>
      </c>
      <c r="BV25" s="55">
        <f t="shared" si="17"/>
        <v>-999</v>
      </c>
      <c r="BW25" s="29">
        <v>-999</v>
      </c>
      <c r="BX25" s="55">
        <f t="shared" si="18"/>
        <v>-999</v>
      </c>
      <c r="BY25" s="29">
        <v>-999</v>
      </c>
      <c r="BZ25" s="55">
        <f t="shared" si="19"/>
        <v>-999</v>
      </c>
      <c r="CA25" s="29">
        <v>-999</v>
      </c>
      <c r="CB25" s="55">
        <f t="shared" si="20"/>
        <v>-999</v>
      </c>
      <c r="CC25" s="29">
        <v>-999</v>
      </c>
      <c r="CD25" s="55">
        <f t="shared" si="21"/>
        <v>-999</v>
      </c>
      <c r="CE25" s="29">
        <v>-999</v>
      </c>
      <c r="CF25" s="155" t="s">
        <v>555</v>
      </c>
      <c r="CG25" s="30" t="b">
        <v>1</v>
      </c>
      <c r="CH25" s="10" t="b">
        <v>0</v>
      </c>
    </row>
    <row r="26" spans="1:86" ht="21" customHeight="1">
      <c r="A26" s="32" t="s">
        <v>608</v>
      </c>
      <c r="B26" s="23" t="s">
        <v>471</v>
      </c>
      <c r="C26" s="38" t="s">
        <v>558</v>
      </c>
      <c r="D26" s="38" t="s">
        <v>229</v>
      </c>
      <c r="E26" s="32" t="s">
        <v>226</v>
      </c>
      <c r="F26">
        <v>9</v>
      </c>
      <c r="G26" s="38">
        <v>658664</v>
      </c>
      <c r="H26" s="38" t="s">
        <v>29</v>
      </c>
      <c r="I26" s="38" t="s">
        <v>228</v>
      </c>
      <c r="J26" t="s">
        <v>531</v>
      </c>
      <c r="K26"/>
      <c r="L26" s="48">
        <v>-999</v>
      </c>
      <c r="M26" s="48">
        <v>-999</v>
      </c>
      <c r="N26" s="48">
        <v>-999</v>
      </c>
      <c r="O26" s="48">
        <v>-999</v>
      </c>
      <c r="P26" s="48">
        <v>-999</v>
      </c>
      <c r="Q26" s="48">
        <v>-999</v>
      </c>
      <c r="R26" s="48">
        <v>-999</v>
      </c>
      <c r="S26" s="116">
        <v>-999</v>
      </c>
      <c r="T26" s="117">
        <v>-999</v>
      </c>
      <c r="U26" s="118">
        <v>-999</v>
      </c>
      <c r="V26" s="117">
        <v>-999</v>
      </c>
      <c r="W26" s="118">
        <v>-999</v>
      </c>
      <c r="X26" s="117">
        <v>-999</v>
      </c>
      <c r="Y26" s="118">
        <v>-999</v>
      </c>
      <c r="Z26" s="117">
        <v>-999</v>
      </c>
      <c r="AA26" s="118">
        <v>-999</v>
      </c>
      <c r="AB26" s="117">
        <v>-999</v>
      </c>
      <c r="AC26" s="63">
        <v>17</v>
      </c>
      <c r="AD26" s="132">
        <v>0.6071428571428571</v>
      </c>
      <c r="AE26" s="144">
        <f t="shared" si="0"/>
        <v>0.5</v>
      </c>
      <c r="AF26" s="146">
        <f t="shared" si="1"/>
        <v>0.57071428571428573</v>
      </c>
      <c r="AG26" s="29" t="b">
        <v>0</v>
      </c>
      <c r="AH26" s="29" t="b">
        <v>0</v>
      </c>
      <c r="AI26" s="29" t="b">
        <v>1</v>
      </c>
      <c r="AJ26" s="29" t="b">
        <v>1</v>
      </c>
      <c r="AK26" s="73" t="s">
        <v>190</v>
      </c>
      <c r="AL26" s="48">
        <v>-999</v>
      </c>
      <c r="AM26" s="55">
        <f t="shared" si="2"/>
        <v>-999</v>
      </c>
      <c r="AN26" s="149">
        <f t="shared" si="22"/>
        <v>-999</v>
      </c>
      <c r="AO26" s="48">
        <v>-999</v>
      </c>
      <c r="AP26" s="55">
        <f t="shared" si="3"/>
        <v>-999</v>
      </c>
      <c r="AQ26" s="149">
        <f t="shared" si="4"/>
        <v>-999</v>
      </c>
      <c r="AR26" s="48">
        <v>6.3</v>
      </c>
      <c r="AS26" s="55">
        <f t="shared" si="5"/>
        <v>2.9936988226302887E-2</v>
      </c>
      <c r="AT26" s="149">
        <f t="shared" si="6"/>
        <v>41495.832000000002</v>
      </c>
      <c r="AU26" s="48">
        <v>0.4</v>
      </c>
      <c r="AV26" s="55">
        <f t="shared" si="7"/>
        <v>7.7772793985048704E-3</v>
      </c>
      <c r="AW26" s="149">
        <f t="shared" si="8"/>
        <v>2634.6559999999999</v>
      </c>
      <c r="AX26" s="48">
        <v>0.06</v>
      </c>
      <c r="AY26" s="55">
        <f t="shared" si="9"/>
        <v>3.017264160074837E-3</v>
      </c>
      <c r="AZ26" s="149">
        <f t="shared" si="10"/>
        <v>395.19839999999999</v>
      </c>
      <c r="BA26" s="75">
        <v>6.8</v>
      </c>
      <c r="BB26" s="55">
        <f t="shared" si="11"/>
        <v>3.1019189710958187E-2</v>
      </c>
      <c r="BC26" s="55">
        <f t="shared" si="12"/>
        <v>44789.152000000002</v>
      </c>
      <c r="BD26" s="55">
        <v>-999</v>
      </c>
      <c r="BE26" s="48">
        <v>-999</v>
      </c>
      <c r="BF26" s="48">
        <v>-999</v>
      </c>
      <c r="BG26" s="48">
        <v>-999</v>
      </c>
      <c r="BH26" s="48">
        <v>-999</v>
      </c>
      <c r="BI26" s="75">
        <v>-999</v>
      </c>
      <c r="BJ26" s="81">
        <f t="shared" si="13"/>
        <v>-999</v>
      </c>
      <c r="BK26" s="55">
        <f t="shared" si="14"/>
        <v>-999</v>
      </c>
      <c r="BL26" s="136">
        <v>-999</v>
      </c>
      <c r="BM26" s="48">
        <v>-999</v>
      </c>
      <c r="BN26" s="48">
        <v>-999</v>
      </c>
      <c r="BO26" s="48">
        <v>-999</v>
      </c>
      <c r="BP26" s="48">
        <v>-999</v>
      </c>
      <c r="BQ26" s="75">
        <v>-999</v>
      </c>
      <c r="BR26" s="81">
        <f t="shared" si="15"/>
        <v>-999</v>
      </c>
      <c r="BS26" s="55">
        <f t="shared" si="16"/>
        <v>-999</v>
      </c>
      <c r="BT26" s="73">
        <v>-999</v>
      </c>
      <c r="BU26" s="29">
        <v>-999</v>
      </c>
      <c r="BV26" s="55">
        <f t="shared" si="17"/>
        <v>-999</v>
      </c>
      <c r="BW26" s="29">
        <v>-999</v>
      </c>
      <c r="BX26" s="55">
        <f t="shared" si="18"/>
        <v>-999</v>
      </c>
      <c r="BY26" s="29">
        <v>-999</v>
      </c>
      <c r="BZ26" s="55">
        <f t="shared" si="19"/>
        <v>-999</v>
      </c>
      <c r="CA26" s="29">
        <v>-999</v>
      </c>
      <c r="CB26" s="55">
        <f t="shared" si="20"/>
        <v>-999</v>
      </c>
      <c r="CC26" s="29">
        <v>-999</v>
      </c>
      <c r="CD26" s="55">
        <f t="shared" si="21"/>
        <v>-999</v>
      </c>
      <c r="CE26" s="29">
        <v>-999</v>
      </c>
      <c r="CF26" s="155" t="s">
        <v>555</v>
      </c>
      <c r="CG26" s="7" t="b">
        <v>1</v>
      </c>
      <c r="CH26" s="10" t="b">
        <v>0</v>
      </c>
    </row>
    <row r="27" spans="1:86" ht="21" customHeight="1">
      <c r="A27" s="10" t="s">
        <v>609</v>
      </c>
      <c r="B27" s="23" t="s">
        <v>472</v>
      </c>
      <c r="C27" s="38" t="s">
        <v>230</v>
      </c>
      <c r="D27" s="38" t="s">
        <v>231</v>
      </c>
      <c r="E27" s="32" t="s">
        <v>255</v>
      </c>
      <c r="F27">
        <v>4</v>
      </c>
      <c r="G27" s="38">
        <v>39188</v>
      </c>
      <c r="H27" s="38" t="s">
        <v>29</v>
      </c>
      <c r="I27" s="38" t="s">
        <v>232</v>
      </c>
      <c r="J27" t="s">
        <v>527</v>
      </c>
      <c r="K27" t="s">
        <v>532</v>
      </c>
      <c r="L27" s="48">
        <v>50</v>
      </c>
      <c r="M27" s="40">
        <v>50.5</v>
      </c>
      <c r="N27" s="48">
        <v>-999</v>
      </c>
      <c r="O27" s="48">
        <v>-999</v>
      </c>
      <c r="P27" s="48">
        <v>-999</v>
      </c>
      <c r="Q27" s="48">
        <v>-999</v>
      </c>
      <c r="R27" s="48">
        <v>-999</v>
      </c>
      <c r="S27" s="116">
        <v>-999</v>
      </c>
      <c r="T27" s="117">
        <v>-999</v>
      </c>
      <c r="U27" s="118">
        <v>-999</v>
      </c>
      <c r="V27" s="117">
        <v>-999</v>
      </c>
      <c r="W27" s="118">
        <v>-999</v>
      </c>
      <c r="X27" s="117">
        <v>-999</v>
      </c>
      <c r="Y27" s="118">
        <v>-999</v>
      </c>
      <c r="Z27" s="117">
        <v>-999</v>
      </c>
      <c r="AA27" s="118">
        <v>-999</v>
      </c>
      <c r="AB27" s="117">
        <v>-999</v>
      </c>
      <c r="AC27" s="63">
        <v>12</v>
      </c>
      <c r="AD27" s="132">
        <v>0.42857142857142855</v>
      </c>
      <c r="AE27" s="144">
        <f t="shared" si="0"/>
        <v>0.75</v>
      </c>
      <c r="AF27" s="146">
        <f t="shared" si="1"/>
        <v>0.53785714285714281</v>
      </c>
      <c r="AG27" s="29" t="b">
        <v>0</v>
      </c>
      <c r="AH27" s="29" t="b">
        <v>1</v>
      </c>
      <c r="AI27" s="29" t="b">
        <v>1</v>
      </c>
      <c r="AJ27" s="29" t="b">
        <v>1</v>
      </c>
      <c r="AK27" s="73" t="s">
        <v>190</v>
      </c>
      <c r="AL27" s="48">
        <v>-999</v>
      </c>
      <c r="AM27" s="55">
        <f t="shared" si="2"/>
        <v>-999</v>
      </c>
      <c r="AN27" s="149">
        <f t="shared" si="22"/>
        <v>-999</v>
      </c>
      <c r="AO27" s="48">
        <v>-999</v>
      </c>
      <c r="AP27" s="55">
        <f t="shared" si="3"/>
        <v>-999</v>
      </c>
      <c r="AQ27" s="149">
        <f t="shared" si="4"/>
        <v>-999</v>
      </c>
      <c r="AR27" s="48">
        <v>6.4</v>
      </c>
      <c r="AS27" s="55">
        <f t="shared" si="5"/>
        <v>0.12363782647866418</v>
      </c>
      <c r="AT27" s="149">
        <f t="shared" si="6"/>
        <v>2508.0320000000002</v>
      </c>
      <c r="AU27" s="48">
        <v>0.6</v>
      </c>
      <c r="AV27" s="55">
        <f t="shared" si="7"/>
        <v>3.9011465718260134E-2</v>
      </c>
      <c r="AW27" s="149">
        <f t="shared" si="8"/>
        <v>235.12800000000001</v>
      </c>
      <c r="AX27" s="48">
        <v>0.6</v>
      </c>
      <c r="AY27" s="55">
        <f t="shared" si="9"/>
        <v>3.9011465718260134E-2</v>
      </c>
      <c r="AZ27" s="149">
        <f t="shared" si="10"/>
        <v>235.12800000000001</v>
      </c>
      <c r="BA27" s="75">
        <v>7.5</v>
      </c>
      <c r="BB27" s="55">
        <f t="shared" si="11"/>
        <v>0.13305308491396967</v>
      </c>
      <c r="BC27" s="55">
        <f t="shared" si="12"/>
        <v>2939.1</v>
      </c>
      <c r="BD27" s="55">
        <v>-999</v>
      </c>
      <c r="BE27" s="48">
        <v>-999</v>
      </c>
      <c r="BF27" s="48">
        <v>-999</v>
      </c>
      <c r="BG27" s="48">
        <v>-999</v>
      </c>
      <c r="BH27" s="48">
        <v>-999</v>
      </c>
      <c r="BI27" s="75">
        <v>-999</v>
      </c>
      <c r="BJ27" s="81">
        <f t="shared" si="13"/>
        <v>-999</v>
      </c>
      <c r="BK27" s="55">
        <f t="shared" si="14"/>
        <v>-999</v>
      </c>
      <c r="BL27" s="136">
        <v>-999</v>
      </c>
      <c r="BM27" s="48">
        <v>-999</v>
      </c>
      <c r="BN27" s="48">
        <v>-999</v>
      </c>
      <c r="BO27" s="48">
        <v>-999</v>
      </c>
      <c r="BP27" s="48">
        <v>-999</v>
      </c>
      <c r="BQ27" s="75">
        <v>-999</v>
      </c>
      <c r="BR27" s="81">
        <f t="shared" si="15"/>
        <v>-999</v>
      </c>
      <c r="BS27" s="55">
        <f t="shared" si="16"/>
        <v>-999</v>
      </c>
      <c r="BT27" s="73" t="s">
        <v>192</v>
      </c>
      <c r="BU27" s="48">
        <v>-999</v>
      </c>
      <c r="BV27" s="55">
        <f t="shared" si="17"/>
        <v>-999</v>
      </c>
      <c r="BW27" s="48">
        <v>-999</v>
      </c>
      <c r="BX27" s="55">
        <f t="shared" si="18"/>
        <v>-999</v>
      </c>
      <c r="BY27" s="48">
        <v>4.8</v>
      </c>
      <c r="BZ27" s="55">
        <f t="shared" si="19"/>
        <v>0.10798477884868254</v>
      </c>
      <c r="CA27" s="48">
        <v>0.5</v>
      </c>
      <c r="CB27" s="55">
        <f t="shared" si="20"/>
        <v>3.5630342154196463E-2</v>
      </c>
      <c r="CC27" s="48">
        <v>0.6</v>
      </c>
      <c r="CD27" s="55">
        <f t="shared" si="21"/>
        <v>3.9011465718260134E-2</v>
      </c>
      <c r="CE27" s="55">
        <v>5.9</v>
      </c>
      <c r="CF27" s="155" t="s">
        <v>555</v>
      </c>
      <c r="CG27" s="7" t="b">
        <v>0</v>
      </c>
      <c r="CH27" s="10" t="b">
        <v>0</v>
      </c>
    </row>
    <row r="28" spans="1:86" ht="21" customHeight="1">
      <c r="A28" s="10" t="s">
        <v>610</v>
      </c>
      <c r="B28" s="23" t="s">
        <v>473</v>
      </c>
      <c r="C28" s="38" t="s">
        <v>709</v>
      </c>
      <c r="D28" s="38">
        <v>2004</v>
      </c>
      <c r="E28" s="32" t="s">
        <v>207</v>
      </c>
      <c r="F28">
        <v>4</v>
      </c>
      <c r="G28" s="38">
        <v>103322</v>
      </c>
      <c r="H28" s="38" t="s">
        <v>29</v>
      </c>
      <c r="I28" s="38" t="s">
        <v>233</v>
      </c>
      <c r="J28" t="s">
        <v>531</v>
      </c>
      <c r="K28"/>
      <c r="L28" s="48">
        <v>57</v>
      </c>
      <c r="M28" s="40">
        <v>61.5</v>
      </c>
      <c r="N28" s="48">
        <v>-999</v>
      </c>
      <c r="O28" s="48">
        <v>-999</v>
      </c>
      <c r="P28" s="48">
        <v>-999</v>
      </c>
      <c r="Q28" s="48">
        <v>-999</v>
      </c>
      <c r="R28" s="40">
        <v>88</v>
      </c>
      <c r="S28" s="116">
        <v>-999</v>
      </c>
      <c r="T28" s="117">
        <v>-999</v>
      </c>
      <c r="U28" s="118">
        <v>-999</v>
      </c>
      <c r="V28" s="117">
        <v>-999</v>
      </c>
      <c r="W28" s="118">
        <v>-999</v>
      </c>
      <c r="X28" s="117">
        <v>-999</v>
      </c>
      <c r="Y28" s="118">
        <v>-999</v>
      </c>
      <c r="Z28" s="117">
        <v>-999</v>
      </c>
      <c r="AA28" s="118">
        <v>-999</v>
      </c>
      <c r="AB28" s="117">
        <v>-999</v>
      </c>
      <c r="AC28" s="63">
        <v>17</v>
      </c>
      <c r="AD28" s="132">
        <v>0.6071428571428571</v>
      </c>
      <c r="AE28" s="144">
        <f t="shared" si="0"/>
        <v>0.5</v>
      </c>
      <c r="AF28" s="146">
        <f t="shared" si="1"/>
        <v>0.57071428571428573</v>
      </c>
      <c r="AG28" s="29" t="b">
        <v>0</v>
      </c>
      <c r="AH28" s="29" t="b">
        <v>1</v>
      </c>
      <c r="AI28" s="29" t="b">
        <v>0</v>
      </c>
      <c r="AJ28" s="29" t="b">
        <v>1</v>
      </c>
      <c r="AK28" s="73" t="s">
        <v>190</v>
      </c>
      <c r="AL28" s="48">
        <v>-999</v>
      </c>
      <c r="AM28" s="55">
        <f t="shared" si="2"/>
        <v>-999</v>
      </c>
      <c r="AN28" s="149">
        <f t="shared" si="22"/>
        <v>-999</v>
      </c>
      <c r="AO28" s="48">
        <v>-999</v>
      </c>
      <c r="AP28" s="55">
        <f t="shared" si="3"/>
        <v>-999</v>
      </c>
      <c r="AQ28" s="149">
        <f t="shared" si="4"/>
        <v>-999</v>
      </c>
      <c r="AR28" s="48">
        <f>3.8+1.3</f>
        <v>5.0999999999999996</v>
      </c>
      <c r="AS28" s="55">
        <f t="shared" si="5"/>
        <v>6.8441858202146405E-2</v>
      </c>
      <c r="AT28" s="149">
        <f t="shared" si="6"/>
        <v>5269.4219999999996</v>
      </c>
      <c r="AU28" s="48">
        <v>0.3</v>
      </c>
      <c r="AV28" s="55">
        <f t="shared" si="7"/>
        <v>1.7014210610292561E-2</v>
      </c>
      <c r="AW28" s="149">
        <f t="shared" si="8"/>
        <v>309.96600000000001</v>
      </c>
      <c r="AX28" s="48">
        <v>0.04</v>
      </c>
      <c r="AY28" s="55">
        <f t="shared" si="9"/>
        <v>6.220806852265089E-3</v>
      </c>
      <c r="AZ28" s="149">
        <f t="shared" si="10"/>
        <v>41.328800000000001</v>
      </c>
      <c r="BA28" s="75">
        <f>5.4</f>
        <v>5.4</v>
      </c>
      <c r="BB28" s="55">
        <f t="shared" si="11"/>
        <v>7.0314686697767761E-2</v>
      </c>
      <c r="BC28" s="55">
        <f t="shared" si="12"/>
        <v>5579.3880000000008</v>
      </c>
      <c r="BD28" s="55">
        <v>-999</v>
      </c>
      <c r="BE28" s="48">
        <v>-999</v>
      </c>
      <c r="BF28" s="48">
        <v>-999</v>
      </c>
      <c r="BG28" s="48">
        <v>-999</v>
      </c>
      <c r="BH28" s="48">
        <v>-999</v>
      </c>
      <c r="BI28" s="75">
        <v>-999</v>
      </c>
      <c r="BJ28" s="81">
        <f t="shared" si="13"/>
        <v>-999</v>
      </c>
      <c r="BK28" s="55">
        <f t="shared" si="14"/>
        <v>-999</v>
      </c>
      <c r="BL28" s="136">
        <v>-999</v>
      </c>
      <c r="BM28" s="48">
        <v>-999</v>
      </c>
      <c r="BN28" s="48">
        <v>-999</v>
      </c>
      <c r="BO28" s="48">
        <v>-999</v>
      </c>
      <c r="BP28" s="48">
        <v>-999</v>
      </c>
      <c r="BQ28" s="75">
        <v>-999</v>
      </c>
      <c r="BR28" s="81">
        <f t="shared" si="15"/>
        <v>-999</v>
      </c>
      <c r="BS28" s="55">
        <f t="shared" si="16"/>
        <v>-999</v>
      </c>
      <c r="BT28" s="73" t="s">
        <v>192</v>
      </c>
      <c r="BU28" s="48">
        <v>-999</v>
      </c>
      <c r="BV28" s="55">
        <f t="shared" si="17"/>
        <v>-999</v>
      </c>
      <c r="BW28" s="48">
        <v>-999</v>
      </c>
      <c r="BX28" s="55">
        <f t="shared" si="18"/>
        <v>-999</v>
      </c>
      <c r="BY28" s="48">
        <f>3.3+1.3</f>
        <v>4.5999999999999996</v>
      </c>
      <c r="BZ28" s="55">
        <f t="shared" si="19"/>
        <v>6.5171347562244852E-2</v>
      </c>
      <c r="CA28" s="48">
        <v>0.3</v>
      </c>
      <c r="CB28" s="55">
        <f t="shared" si="20"/>
        <v>1.7014210610292561E-2</v>
      </c>
      <c r="CC28" s="48">
        <v>0.04</v>
      </c>
      <c r="CD28" s="55">
        <f t="shared" si="21"/>
        <v>6.220806852265089E-3</v>
      </c>
      <c r="CE28" s="55">
        <v>4.9000000000000004</v>
      </c>
      <c r="CF28" s="155" t="s">
        <v>555</v>
      </c>
      <c r="CG28" s="7" t="b">
        <v>0</v>
      </c>
      <c r="CH28" s="10" t="b">
        <v>0</v>
      </c>
    </row>
    <row r="29" spans="1:86" ht="21" customHeight="1">
      <c r="A29" s="10" t="s">
        <v>610</v>
      </c>
      <c r="B29" s="23" t="s">
        <v>474</v>
      </c>
      <c r="C29" s="38" t="s">
        <v>710</v>
      </c>
      <c r="D29" s="38" t="s">
        <v>560</v>
      </c>
      <c r="E29" s="32" t="s">
        <v>207</v>
      </c>
      <c r="F29">
        <v>4</v>
      </c>
      <c r="G29" s="38">
        <v>123121</v>
      </c>
      <c r="H29" s="38" t="s">
        <v>29</v>
      </c>
      <c r="I29" s="38" t="s">
        <v>188</v>
      </c>
      <c r="J29" t="s">
        <v>531</v>
      </c>
      <c r="K29"/>
      <c r="L29" s="48">
        <v>56</v>
      </c>
      <c r="M29" s="40">
        <v>63.5</v>
      </c>
      <c r="N29" s="48">
        <v>-999</v>
      </c>
      <c r="O29" s="48">
        <v>-999</v>
      </c>
      <c r="P29" s="48">
        <v>-999</v>
      </c>
      <c r="Q29" s="48">
        <v>-999</v>
      </c>
      <c r="R29" s="40">
        <v>84</v>
      </c>
      <c r="S29" s="116">
        <v>-999</v>
      </c>
      <c r="T29" s="117">
        <v>-999</v>
      </c>
      <c r="U29" s="118">
        <v>-999</v>
      </c>
      <c r="V29" s="117">
        <v>-999</v>
      </c>
      <c r="W29" s="118">
        <v>-999</v>
      </c>
      <c r="X29" s="117">
        <v>-999</v>
      </c>
      <c r="Y29" s="118">
        <v>-999</v>
      </c>
      <c r="Z29" s="117">
        <v>-999</v>
      </c>
      <c r="AA29" s="118">
        <v>-999</v>
      </c>
      <c r="AB29" s="117">
        <v>-999</v>
      </c>
      <c r="AC29" s="63">
        <v>17</v>
      </c>
      <c r="AD29" s="132">
        <v>0.6071428571428571</v>
      </c>
      <c r="AE29" s="144">
        <f t="shared" si="0"/>
        <v>0.5</v>
      </c>
      <c r="AF29" s="146">
        <f t="shared" si="1"/>
        <v>0.57071428571428573</v>
      </c>
      <c r="AG29" s="29" t="b">
        <v>0</v>
      </c>
      <c r="AH29" s="29" t="b">
        <v>1</v>
      </c>
      <c r="AI29" s="29" t="b">
        <v>0</v>
      </c>
      <c r="AJ29" s="29" t="b">
        <v>1</v>
      </c>
      <c r="AK29" s="73" t="s">
        <v>190</v>
      </c>
      <c r="AL29" s="48">
        <v>-999</v>
      </c>
      <c r="AM29" s="55">
        <f t="shared" si="2"/>
        <v>-999</v>
      </c>
      <c r="AN29" s="149">
        <f t="shared" si="22"/>
        <v>-999</v>
      </c>
      <c r="AO29" s="48">
        <v>-999</v>
      </c>
      <c r="AP29" s="55">
        <f t="shared" si="3"/>
        <v>-999</v>
      </c>
      <c r="AQ29" s="149">
        <f t="shared" si="4"/>
        <v>-999</v>
      </c>
      <c r="AR29" s="48">
        <f>3.9+1.4</f>
        <v>5.3</v>
      </c>
      <c r="AS29" s="55">
        <f t="shared" si="5"/>
        <v>6.3847935224000452E-2</v>
      </c>
      <c r="AT29" s="149">
        <f t="shared" si="6"/>
        <v>6525.4129999999996</v>
      </c>
      <c r="AU29" s="48">
        <v>0.3</v>
      </c>
      <c r="AV29" s="55">
        <f t="shared" si="7"/>
        <v>1.5586267996765848E-2</v>
      </c>
      <c r="AW29" s="149">
        <f t="shared" si="8"/>
        <v>369.363</v>
      </c>
      <c r="AX29" s="48">
        <v>0.03</v>
      </c>
      <c r="AY29" s="55">
        <f t="shared" si="9"/>
        <v>4.9354801130221185E-3</v>
      </c>
      <c r="AZ29" s="149">
        <f t="shared" si="10"/>
        <v>36.936299999999996</v>
      </c>
      <c r="BA29" s="75">
        <f>AR29+AU29+AX29</f>
        <v>5.63</v>
      </c>
      <c r="BB29" s="55">
        <f t="shared" si="11"/>
        <v>6.5690884249297241E-2</v>
      </c>
      <c r="BC29" s="55">
        <f t="shared" si="12"/>
        <v>6931.7122999999992</v>
      </c>
      <c r="BD29" s="55">
        <v>-999</v>
      </c>
      <c r="BE29" s="48">
        <v>-999</v>
      </c>
      <c r="BF29" s="48">
        <v>-999</v>
      </c>
      <c r="BG29" s="48">
        <v>-999</v>
      </c>
      <c r="BH29" s="48">
        <v>-999</v>
      </c>
      <c r="BI29" s="75">
        <v>-999</v>
      </c>
      <c r="BJ29" s="81">
        <f t="shared" si="13"/>
        <v>-999</v>
      </c>
      <c r="BK29" s="55">
        <f t="shared" si="14"/>
        <v>-999</v>
      </c>
      <c r="BL29" s="136">
        <v>-999</v>
      </c>
      <c r="BM29" s="48">
        <v>-999</v>
      </c>
      <c r="BN29" s="48">
        <v>-999</v>
      </c>
      <c r="BO29" s="48">
        <v>-999</v>
      </c>
      <c r="BP29" s="48">
        <v>-999</v>
      </c>
      <c r="BQ29" s="75">
        <v>-999</v>
      </c>
      <c r="BR29" s="81">
        <f t="shared" si="15"/>
        <v>-999</v>
      </c>
      <c r="BS29" s="55">
        <f t="shared" si="16"/>
        <v>-999</v>
      </c>
      <c r="BT29" s="73" t="s">
        <v>192</v>
      </c>
      <c r="BU29" s="48">
        <v>-999</v>
      </c>
      <c r="BV29" s="55">
        <f t="shared" si="17"/>
        <v>-999</v>
      </c>
      <c r="BW29" s="48">
        <v>-999</v>
      </c>
      <c r="BX29" s="55">
        <f t="shared" si="18"/>
        <v>-999</v>
      </c>
      <c r="BY29" s="48">
        <f>3.3+1.3</f>
        <v>4.5999999999999996</v>
      </c>
      <c r="BZ29" s="55">
        <f t="shared" si="19"/>
        <v>5.9701746503657185E-2</v>
      </c>
      <c r="CA29" s="48">
        <v>0.3</v>
      </c>
      <c r="CB29" s="55">
        <f t="shared" si="20"/>
        <v>1.5586267996765848E-2</v>
      </c>
      <c r="CC29" s="48">
        <v>0.04</v>
      </c>
      <c r="CD29" s="55">
        <f t="shared" si="21"/>
        <v>5.6987165009504855E-3</v>
      </c>
      <c r="CE29" s="55">
        <f>SUM(BY29:CC29)</f>
        <v>5.0152880145004231</v>
      </c>
      <c r="CF29" s="155" t="s">
        <v>555</v>
      </c>
      <c r="CG29" s="7" t="b">
        <v>0</v>
      </c>
      <c r="CH29" s="10" t="b">
        <v>0</v>
      </c>
    </row>
    <row r="30" spans="1:86" ht="21" customHeight="1">
      <c r="A30" s="7" t="s">
        <v>611</v>
      </c>
      <c r="B30" s="23" t="s">
        <v>475</v>
      </c>
      <c r="C30" s="38" t="s">
        <v>234</v>
      </c>
      <c r="D30" s="31">
        <v>2008</v>
      </c>
      <c r="E30" s="38" t="s">
        <v>238</v>
      </c>
      <c r="F30">
        <v>4</v>
      </c>
      <c r="G30" s="38">
        <v>2602</v>
      </c>
      <c r="H30" s="38" t="s">
        <v>29</v>
      </c>
      <c r="I30" s="38" t="s">
        <v>235</v>
      </c>
      <c r="J30" t="s">
        <v>527</v>
      </c>
      <c r="K30"/>
      <c r="L30" s="48">
        <v>-999</v>
      </c>
      <c r="M30" s="48">
        <v>-999</v>
      </c>
      <c r="N30" s="48">
        <v>-999</v>
      </c>
      <c r="O30" s="48">
        <v>-999</v>
      </c>
      <c r="P30" s="48">
        <v>-999</v>
      </c>
      <c r="Q30" s="48">
        <v>-999</v>
      </c>
      <c r="R30" s="48">
        <v>-999</v>
      </c>
      <c r="S30" s="116">
        <v>-999</v>
      </c>
      <c r="T30" s="117">
        <v>-999</v>
      </c>
      <c r="U30" s="118">
        <v>-999</v>
      </c>
      <c r="V30" s="117">
        <v>-999</v>
      </c>
      <c r="W30" s="118">
        <v>-999</v>
      </c>
      <c r="X30" s="117">
        <v>-999</v>
      </c>
      <c r="Y30" s="118">
        <v>-999</v>
      </c>
      <c r="Z30" s="117">
        <v>-999</v>
      </c>
      <c r="AA30" s="118">
        <v>-999</v>
      </c>
      <c r="AB30" s="117">
        <v>-999</v>
      </c>
      <c r="AC30" s="63">
        <v>11</v>
      </c>
      <c r="AD30" s="132">
        <v>0.39285714285714285</v>
      </c>
      <c r="AE30" s="144">
        <f t="shared" si="0"/>
        <v>0</v>
      </c>
      <c r="AF30" s="146">
        <f t="shared" si="1"/>
        <v>0.25928571428571429</v>
      </c>
      <c r="AG30" s="29" t="b">
        <v>0</v>
      </c>
      <c r="AH30" s="29" t="b">
        <v>0</v>
      </c>
      <c r="AI30" s="29" t="b">
        <v>0</v>
      </c>
      <c r="AJ30" s="29" t="b">
        <v>0</v>
      </c>
      <c r="AK30" s="73" t="s">
        <v>190</v>
      </c>
      <c r="AL30" s="48">
        <v>-999</v>
      </c>
      <c r="AM30" s="55">
        <f t="shared" si="2"/>
        <v>-999</v>
      </c>
      <c r="AN30" s="149">
        <f t="shared" si="22"/>
        <v>-999</v>
      </c>
      <c r="AO30" s="48">
        <v>-999</v>
      </c>
      <c r="AP30" s="55">
        <f t="shared" si="3"/>
        <v>-999</v>
      </c>
      <c r="AQ30" s="149">
        <f t="shared" si="4"/>
        <v>-999</v>
      </c>
      <c r="AR30" s="48">
        <f>12.1+3.4</f>
        <v>15.5</v>
      </c>
      <c r="AS30" s="55">
        <f t="shared" si="5"/>
        <v>0.70948065361066004</v>
      </c>
      <c r="AT30" s="149">
        <f t="shared" si="6"/>
        <v>403.31</v>
      </c>
      <c r="AU30" s="48">
        <v>1.2</v>
      </c>
      <c r="AV30" s="55">
        <f t="shared" si="7"/>
        <v>0.21345948102258652</v>
      </c>
      <c r="AW30" s="149">
        <f t="shared" si="8"/>
        <v>31.224</v>
      </c>
      <c r="AX30" s="48">
        <v>0</v>
      </c>
      <c r="AY30" s="55">
        <f t="shared" si="9"/>
        <v>0</v>
      </c>
      <c r="AZ30" s="149">
        <f t="shared" si="10"/>
        <v>0</v>
      </c>
      <c r="BA30" s="75">
        <v>16.7</v>
      </c>
      <c r="BB30" s="55">
        <f t="shared" si="11"/>
        <v>0.73118469146729681</v>
      </c>
      <c r="BC30" s="55">
        <f t="shared" si="12"/>
        <v>434.53399999999993</v>
      </c>
      <c r="BD30" s="55">
        <v>-999</v>
      </c>
      <c r="BE30" s="48">
        <v>-999</v>
      </c>
      <c r="BF30" s="48">
        <v>-999</v>
      </c>
      <c r="BG30" s="48">
        <v>-999</v>
      </c>
      <c r="BH30" s="48">
        <v>-999</v>
      </c>
      <c r="BI30" s="75">
        <v>-999</v>
      </c>
      <c r="BJ30" s="81">
        <f t="shared" si="13"/>
        <v>-999</v>
      </c>
      <c r="BK30" s="55">
        <f t="shared" si="14"/>
        <v>-999</v>
      </c>
      <c r="BL30" s="136">
        <v>-999</v>
      </c>
      <c r="BM30" s="48">
        <v>-999</v>
      </c>
      <c r="BN30" s="48">
        <v>-999</v>
      </c>
      <c r="BO30" s="48">
        <v>-999</v>
      </c>
      <c r="BP30" s="48">
        <v>-999</v>
      </c>
      <c r="BQ30" s="75">
        <v>-999</v>
      </c>
      <c r="BR30" s="81">
        <f t="shared" si="15"/>
        <v>-999</v>
      </c>
      <c r="BS30" s="55">
        <f t="shared" si="16"/>
        <v>-999</v>
      </c>
      <c r="BT30" s="73">
        <v>-999</v>
      </c>
      <c r="BU30" s="29">
        <v>-999</v>
      </c>
      <c r="BV30" s="55">
        <f t="shared" si="17"/>
        <v>-999</v>
      </c>
      <c r="BW30" s="29">
        <v>-999</v>
      </c>
      <c r="BX30" s="55">
        <f t="shared" si="18"/>
        <v>-999</v>
      </c>
      <c r="BY30" s="29">
        <v>-999</v>
      </c>
      <c r="BZ30" s="55">
        <f t="shared" si="19"/>
        <v>-999</v>
      </c>
      <c r="CA30" s="29">
        <v>-999</v>
      </c>
      <c r="CB30" s="55">
        <f t="shared" si="20"/>
        <v>-999</v>
      </c>
      <c r="CC30" s="29">
        <v>-999</v>
      </c>
      <c r="CD30" s="55">
        <f t="shared" si="21"/>
        <v>-999</v>
      </c>
      <c r="CE30" s="29">
        <v>-999</v>
      </c>
      <c r="CF30" s="155" t="s">
        <v>555</v>
      </c>
      <c r="CG30" s="7" t="b">
        <v>0</v>
      </c>
      <c r="CH30" s="10" t="b">
        <v>0</v>
      </c>
    </row>
    <row r="31" spans="1:86" ht="21" customHeight="1">
      <c r="A31" s="32" t="s">
        <v>669</v>
      </c>
      <c r="B31" s="23" t="s">
        <v>476</v>
      </c>
      <c r="C31" s="38" t="s">
        <v>236</v>
      </c>
      <c r="D31" s="39" t="s">
        <v>237</v>
      </c>
      <c r="E31" s="38" t="s">
        <v>133</v>
      </c>
      <c r="F31">
        <v>2</v>
      </c>
      <c r="G31" s="38">
        <v>1120295</v>
      </c>
      <c r="H31" s="38" t="s">
        <v>29</v>
      </c>
      <c r="I31" s="38" t="s">
        <v>239</v>
      </c>
      <c r="J31" t="s">
        <v>531</v>
      </c>
      <c r="K31" t="s">
        <v>524</v>
      </c>
      <c r="L31" s="48">
        <v>54.6</v>
      </c>
      <c r="M31" s="40">
        <v>52.2</v>
      </c>
      <c r="N31" s="40">
        <v>-999</v>
      </c>
      <c r="O31" s="40">
        <v>-999</v>
      </c>
      <c r="P31" s="40">
        <v>-999</v>
      </c>
      <c r="Q31" s="40">
        <v>-999</v>
      </c>
      <c r="R31" s="40">
        <v>-999</v>
      </c>
      <c r="S31" s="96">
        <v>9.6</v>
      </c>
      <c r="T31" s="112">
        <v>-999</v>
      </c>
      <c r="U31" s="98">
        <v>19.100000000000001</v>
      </c>
      <c r="V31" s="112">
        <v>-999</v>
      </c>
      <c r="W31" s="98">
        <v>6.3</v>
      </c>
      <c r="X31" s="112" t="s">
        <v>220</v>
      </c>
      <c r="Y31" s="118">
        <v>-999</v>
      </c>
      <c r="Z31" s="117">
        <v>-999</v>
      </c>
      <c r="AA31" s="118">
        <v>-999</v>
      </c>
      <c r="AB31" s="117">
        <v>-999</v>
      </c>
      <c r="AC31" s="63">
        <v>24</v>
      </c>
      <c r="AD31" s="132">
        <v>0.8571428571428571</v>
      </c>
      <c r="AE31" s="144">
        <f t="shared" si="0"/>
        <v>0.25</v>
      </c>
      <c r="AF31" s="146">
        <f t="shared" si="1"/>
        <v>0.65071428571428569</v>
      </c>
      <c r="AG31" s="29" t="b">
        <v>0</v>
      </c>
      <c r="AH31" s="29" t="b">
        <v>0</v>
      </c>
      <c r="AI31" s="29" t="b">
        <v>0</v>
      </c>
      <c r="AJ31" s="29" t="b">
        <v>1</v>
      </c>
      <c r="AK31" s="73" t="s">
        <v>190</v>
      </c>
      <c r="AL31" s="48">
        <v>-999</v>
      </c>
      <c r="AM31" s="55">
        <f t="shared" si="2"/>
        <v>-999</v>
      </c>
      <c r="AN31" s="149">
        <f t="shared" si="22"/>
        <v>-999</v>
      </c>
      <c r="AO31" s="48">
        <v>-999</v>
      </c>
      <c r="AP31" s="55">
        <f t="shared" si="3"/>
        <v>-999</v>
      </c>
      <c r="AQ31" s="149">
        <f t="shared" si="4"/>
        <v>-999</v>
      </c>
      <c r="AR31" s="48">
        <v>16.8</v>
      </c>
      <c r="AS31" s="55">
        <f t="shared" si="5"/>
        <v>3.5322391938719014E-2</v>
      </c>
      <c r="AT31" s="149">
        <f t="shared" si="6"/>
        <v>188209.56</v>
      </c>
      <c r="AU31" s="48">
        <v>0.6</v>
      </c>
      <c r="AV31" s="55">
        <f t="shared" si="7"/>
        <v>7.2962989264178015E-3</v>
      </c>
      <c r="AW31" s="149">
        <f t="shared" si="8"/>
        <v>6721.77</v>
      </c>
      <c r="AX31" s="48">
        <v>0.1</v>
      </c>
      <c r="AY31" s="55">
        <f t="shared" si="9"/>
        <v>2.9861838700204662E-3</v>
      </c>
      <c r="AZ31" s="149">
        <f t="shared" si="10"/>
        <v>1120.2950000000001</v>
      </c>
      <c r="BA31" s="75">
        <f>AR31+AU31+AX31</f>
        <v>17.500000000000004</v>
      </c>
      <c r="BB31" s="55">
        <f t="shared" si="11"/>
        <v>3.5898789109819279E-2</v>
      </c>
      <c r="BC31" s="55">
        <f t="shared" si="12"/>
        <v>196051.62500000006</v>
      </c>
      <c r="BD31" s="55">
        <v>-999</v>
      </c>
      <c r="BE31" s="48">
        <v>-999</v>
      </c>
      <c r="BF31" s="48">
        <v>-999</v>
      </c>
      <c r="BG31" s="48">
        <v>-999</v>
      </c>
      <c r="BH31" s="48">
        <v>-999</v>
      </c>
      <c r="BI31" s="75">
        <v>-999</v>
      </c>
      <c r="BJ31" s="81">
        <f t="shared" si="13"/>
        <v>-999</v>
      </c>
      <c r="BK31" s="55">
        <f t="shared" si="14"/>
        <v>-999</v>
      </c>
      <c r="BL31" s="136">
        <v>-999</v>
      </c>
      <c r="BM31" s="48">
        <v>-999</v>
      </c>
      <c r="BN31" s="48">
        <v>-999</v>
      </c>
      <c r="BO31" s="48">
        <v>-999</v>
      </c>
      <c r="BP31" s="48">
        <v>-999</v>
      </c>
      <c r="BQ31" s="75">
        <v>-999</v>
      </c>
      <c r="BR31" s="81">
        <f t="shared" si="15"/>
        <v>-999</v>
      </c>
      <c r="BS31" s="55">
        <f t="shared" si="16"/>
        <v>-999</v>
      </c>
      <c r="BT31" s="73">
        <v>-999</v>
      </c>
      <c r="BU31" s="29">
        <v>-999</v>
      </c>
      <c r="BV31" s="55">
        <f t="shared" si="17"/>
        <v>-999</v>
      </c>
      <c r="BW31" s="29">
        <v>-999</v>
      </c>
      <c r="BX31" s="55">
        <f t="shared" si="18"/>
        <v>-999</v>
      </c>
      <c r="BY31" s="29">
        <v>-999</v>
      </c>
      <c r="BZ31" s="55">
        <f t="shared" si="19"/>
        <v>-999</v>
      </c>
      <c r="CA31" s="29">
        <v>-999</v>
      </c>
      <c r="CB31" s="55">
        <f t="shared" si="20"/>
        <v>-999</v>
      </c>
      <c r="CC31" s="29">
        <v>-999</v>
      </c>
      <c r="CD31" s="55">
        <f t="shared" si="21"/>
        <v>-999</v>
      </c>
      <c r="CE31" s="55">
        <v>-999</v>
      </c>
      <c r="CF31" s="155" t="s">
        <v>555</v>
      </c>
      <c r="CG31" s="7" t="b">
        <v>1</v>
      </c>
      <c r="CH31" s="10" t="b">
        <v>0</v>
      </c>
    </row>
    <row r="32" spans="1:86" ht="21" customHeight="1">
      <c r="A32" s="32" t="s">
        <v>670</v>
      </c>
      <c r="B32" s="23" t="s">
        <v>422</v>
      </c>
      <c r="C32" s="7" t="s">
        <v>40</v>
      </c>
      <c r="D32" s="8" t="s">
        <v>27</v>
      </c>
      <c r="E32" s="10" t="s">
        <v>34</v>
      </c>
      <c r="F32">
        <v>5</v>
      </c>
      <c r="G32" s="7">
        <v>7801</v>
      </c>
      <c r="H32" s="7" t="s">
        <v>29</v>
      </c>
      <c r="I32" s="7" t="s">
        <v>400</v>
      </c>
      <c r="J32" t="s">
        <v>524</v>
      </c>
      <c r="K32"/>
      <c r="L32" s="44">
        <v>55.7</v>
      </c>
      <c r="M32" s="9">
        <v>43.9</v>
      </c>
      <c r="N32" s="9">
        <v>-999</v>
      </c>
      <c r="O32" s="9">
        <v>24.92</v>
      </c>
      <c r="P32" s="9">
        <v>131.5</v>
      </c>
      <c r="Q32" s="9">
        <v>82.6</v>
      </c>
      <c r="R32" s="9">
        <v>-999</v>
      </c>
      <c r="S32" s="100">
        <v>2.9000000000000004</v>
      </c>
      <c r="T32" s="101" t="s">
        <v>41</v>
      </c>
      <c r="U32" s="102">
        <v>9.7000000000000011</v>
      </c>
      <c r="V32" s="101" t="s">
        <v>42</v>
      </c>
      <c r="W32" s="102">
        <v>-999</v>
      </c>
      <c r="X32" s="101" t="s">
        <v>43</v>
      </c>
      <c r="Y32" s="102">
        <v>-999</v>
      </c>
      <c r="Z32" s="101">
        <v>-999</v>
      </c>
      <c r="AA32" s="102">
        <v>17.599999999999998</v>
      </c>
      <c r="AB32" s="101" t="s">
        <v>33</v>
      </c>
      <c r="AC32" s="64">
        <v>18</v>
      </c>
      <c r="AD32" s="131">
        <f>AC32/28</f>
        <v>0.6428571428571429</v>
      </c>
      <c r="AE32" s="144">
        <f t="shared" si="0"/>
        <v>0</v>
      </c>
      <c r="AF32" s="146">
        <f t="shared" si="1"/>
        <v>0.42428571428571432</v>
      </c>
      <c r="AG32" s="9" t="b">
        <v>0</v>
      </c>
      <c r="AH32" s="9" t="b">
        <v>0</v>
      </c>
      <c r="AI32" s="9" t="b">
        <v>0</v>
      </c>
      <c r="AJ32" s="9" t="b">
        <v>0</v>
      </c>
      <c r="AK32" s="71" t="s">
        <v>190</v>
      </c>
      <c r="AL32" s="45">
        <v>-999</v>
      </c>
      <c r="AM32" s="44">
        <f t="shared" si="2"/>
        <v>-999</v>
      </c>
      <c r="AN32" s="149">
        <f t="shared" si="22"/>
        <v>-999</v>
      </c>
      <c r="AO32" s="45">
        <v>-999</v>
      </c>
      <c r="AP32" s="44">
        <f t="shared" si="3"/>
        <v>-999</v>
      </c>
      <c r="AQ32" s="149">
        <f t="shared" si="4"/>
        <v>-999</v>
      </c>
      <c r="AR32" s="45">
        <v>-999</v>
      </c>
      <c r="AS32" s="44">
        <f t="shared" si="5"/>
        <v>-999</v>
      </c>
      <c r="AT32" s="149">
        <f t="shared" si="6"/>
        <v>-999</v>
      </c>
      <c r="AU32" s="45">
        <v>-999</v>
      </c>
      <c r="AV32" s="44">
        <f t="shared" si="7"/>
        <v>-999</v>
      </c>
      <c r="AW32" s="149">
        <f t="shared" si="8"/>
        <v>-999</v>
      </c>
      <c r="AX32" s="45">
        <v>-999</v>
      </c>
      <c r="AY32" s="44">
        <f t="shared" si="9"/>
        <v>-999</v>
      </c>
      <c r="AZ32" s="149">
        <f t="shared" si="10"/>
        <v>-999</v>
      </c>
      <c r="BA32" s="76">
        <v>12.5</v>
      </c>
      <c r="BB32" s="44">
        <f t="shared" si="11"/>
        <v>0.37444142906060635</v>
      </c>
      <c r="BC32" s="55">
        <f t="shared" si="12"/>
        <v>975.125</v>
      </c>
      <c r="BD32" s="44">
        <v>-999</v>
      </c>
      <c r="BE32" s="45">
        <v>-999</v>
      </c>
      <c r="BF32" s="45">
        <v>-999</v>
      </c>
      <c r="BG32" s="45">
        <v>-999</v>
      </c>
      <c r="BH32" s="45">
        <v>-999</v>
      </c>
      <c r="BI32" s="76">
        <v>-999</v>
      </c>
      <c r="BJ32" s="81">
        <f t="shared" si="13"/>
        <v>-999</v>
      </c>
      <c r="BK32" s="44">
        <f t="shared" si="14"/>
        <v>-999</v>
      </c>
      <c r="BL32" s="137">
        <v>-999</v>
      </c>
      <c r="BM32" s="45">
        <v>-999</v>
      </c>
      <c r="BN32" s="45">
        <v>-999</v>
      </c>
      <c r="BO32" s="45">
        <v>-999</v>
      </c>
      <c r="BP32" s="45">
        <v>-999</v>
      </c>
      <c r="BQ32" s="76">
        <v>-999</v>
      </c>
      <c r="BR32" s="81">
        <f t="shared" si="15"/>
        <v>-999</v>
      </c>
      <c r="BS32" s="44">
        <f t="shared" si="16"/>
        <v>-999</v>
      </c>
      <c r="BT32" s="71">
        <v>-999</v>
      </c>
      <c r="BU32" s="48">
        <v>-999</v>
      </c>
      <c r="BV32" s="44">
        <f t="shared" si="17"/>
        <v>-999</v>
      </c>
      <c r="BW32" s="48">
        <v>-999</v>
      </c>
      <c r="BX32" s="44">
        <f t="shared" si="18"/>
        <v>-999</v>
      </c>
      <c r="BY32" s="48">
        <v>-999</v>
      </c>
      <c r="BZ32" s="44">
        <f t="shared" si="19"/>
        <v>-999</v>
      </c>
      <c r="CA32" s="48">
        <v>-999</v>
      </c>
      <c r="CB32" s="44">
        <f t="shared" si="20"/>
        <v>-999</v>
      </c>
      <c r="CC32" s="48">
        <v>-999</v>
      </c>
      <c r="CD32" s="44">
        <f t="shared" si="21"/>
        <v>-999</v>
      </c>
      <c r="CE32" s="55">
        <v>-999</v>
      </c>
      <c r="CF32" s="129" t="s">
        <v>555</v>
      </c>
      <c r="CG32" s="7" t="b">
        <v>1</v>
      </c>
      <c r="CH32" s="7" t="b">
        <v>1</v>
      </c>
    </row>
    <row r="33" spans="1:86" ht="21" customHeight="1">
      <c r="A33" s="32" t="s">
        <v>671</v>
      </c>
      <c r="B33" s="23" t="s">
        <v>423</v>
      </c>
      <c r="C33" s="7" t="s">
        <v>90</v>
      </c>
      <c r="D33" s="8" t="s">
        <v>91</v>
      </c>
      <c r="E33" s="7" t="s">
        <v>92</v>
      </c>
      <c r="F33">
        <v>4</v>
      </c>
      <c r="G33" s="7">
        <v>65604</v>
      </c>
      <c r="H33" s="7" t="s">
        <v>29</v>
      </c>
      <c r="I33" s="7" t="s">
        <v>389</v>
      </c>
      <c r="J33" t="s">
        <v>522</v>
      </c>
      <c r="K33"/>
      <c r="L33" s="44">
        <v>53.2</v>
      </c>
      <c r="M33" s="9">
        <v>49</v>
      </c>
      <c r="N33" s="9">
        <v>-999</v>
      </c>
      <c r="O33" s="9">
        <v>-999</v>
      </c>
      <c r="P33" s="9">
        <v>137.9</v>
      </c>
      <c r="Q33" s="9">
        <v>80.3</v>
      </c>
      <c r="R33" s="9">
        <v>-999</v>
      </c>
      <c r="S33" s="100">
        <v>3</v>
      </c>
      <c r="T33" s="101">
        <v>-999</v>
      </c>
      <c r="U33" s="102">
        <v>11.1</v>
      </c>
      <c r="V33" s="101">
        <v>-999</v>
      </c>
      <c r="W33" s="102">
        <v>-999</v>
      </c>
      <c r="X33" s="101">
        <v>-999</v>
      </c>
      <c r="Y33" s="102">
        <v>16.3</v>
      </c>
      <c r="Z33" s="101" t="s">
        <v>64</v>
      </c>
      <c r="AA33" s="102">
        <v>27.400000000000002</v>
      </c>
      <c r="AB33" s="101" t="s">
        <v>25</v>
      </c>
      <c r="AC33" s="64">
        <v>21</v>
      </c>
      <c r="AD33" s="131">
        <f>AC33/28</f>
        <v>0.75</v>
      </c>
      <c r="AE33" s="144">
        <f t="shared" si="0"/>
        <v>0.75</v>
      </c>
      <c r="AF33" s="146">
        <f t="shared" si="1"/>
        <v>0.75</v>
      </c>
      <c r="AG33" s="9" t="b">
        <v>0</v>
      </c>
      <c r="AH33" s="9" t="b">
        <v>1</v>
      </c>
      <c r="AI33" s="9" t="b">
        <v>1</v>
      </c>
      <c r="AJ33" s="9" t="b">
        <v>1</v>
      </c>
      <c r="AK33" s="71" t="s">
        <v>190</v>
      </c>
      <c r="AL33" s="45">
        <v>-999</v>
      </c>
      <c r="AM33" s="44">
        <f t="shared" si="2"/>
        <v>-999</v>
      </c>
      <c r="AN33" s="149">
        <f t="shared" si="22"/>
        <v>-999</v>
      </c>
      <c r="AO33" s="45">
        <v>-999</v>
      </c>
      <c r="AP33" s="44">
        <f t="shared" si="3"/>
        <v>-999</v>
      </c>
      <c r="AQ33" s="149">
        <f t="shared" si="4"/>
        <v>-999</v>
      </c>
      <c r="AR33" s="45">
        <v>-999</v>
      </c>
      <c r="AS33" s="44">
        <f t="shared" si="5"/>
        <v>-999</v>
      </c>
      <c r="AT33" s="149">
        <f t="shared" si="6"/>
        <v>-999</v>
      </c>
      <c r="AU33" s="45">
        <v>-999</v>
      </c>
      <c r="AV33" s="44">
        <f t="shared" si="7"/>
        <v>-999</v>
      </c>
      <c r="AW33" s="149">
        <f t="shared" si="8"/>
        <v>-999</v>
      </c>
      <c r="AX33" s="45">
        <v>-999</v>
      </c>
      <c r="AY33" s="44">
        <f t="shared" si="9"/>
        <v>-999</v>
      </c>
      <c r="AZ33" s="149">
        <f t="shared" si="10"/>
        <v>-999</v>
      </c>
      <c r="BA33" s="76">
        <v>4.7</v>
      </c>
      <c r="BB33" s="44">
        <f t="shared" si="11"/>
        <v>8.2628566680690907E-2</v>
      </c>
      <c r="BC33" s="55">
        <f t="shared" si="12"/>
        <v>3083.3879999999999</v>
      </c>
      <c r="BD33" s="44">
        <v>-999</v>
      </c>
      <c r="BE33" s="45">
        <v>-999</v>
      </c>
      <c r="BF33" s="45">
        <v>-999</v>
      </c>
      <c r="BG33" s="45">
        <v>-999</v>
      </c>
      <c r="BH33" s="45">
        <v>-999</v>
      </c>
      <c r="BI33" s="76">
        <v>-999</v>
      </c>
      <c r="BJ33" s="81">
        <f t="shared" si="13"/>
        <v>-999</v>
      </c>
      <c r="BK33" s="44">
        <f t="shared" si="14"/>
        <v>-999</v>
      </c>
      <c r="BL33" s="137">
        <v>-999</v>
      </c>
      <c r="BM33" s="45">
        <v>-999</v>
      </c>
      <c r="BN33" s="45">
        <v>-999</v>
      </c>
      <c r="BO33" s="45">
        <v>-999</v>
      </c>
      <c r="BP33" s="45">
        <v>-999</v>
      </c>
      <c r="BQ33" s="76">
        <v>-999</v>
      </c>
      <c r="BR33" s="81">
        <f t="shared" si="15"/>
        <v>-999</v>
      </c>
      <c r="BS33" s="44">
        <f t="shared" si="16"/>
        <v>-999</v>
      </c>
      <c r="BT33" s="71">
        <v>-999</v>
      </c>
      <c r="BU33" s="48">
        <v>-999</v>
      </c>
      <c r="BV33" s="44">
        <f t="shared" si="17"/>
        <v>-999</v>
      </c>
      <c r="BW33" s="48">
        <v>-999</v>
      </c>
      <c r="BX33" s="44">
        <f t="shared" si="18"/>
        <v>-999</v>
      </c>
      <c r="BY33" s="48">
        <v>-999</v>
      </c>
      <c r="BZ33" s="44">
        <f t="shared" si="19"/>
        <v>-999</v>
      </c>
      <c r="CA33" s="48">
        <v>-999</v>
      </c>
      <c r="CB33" s="44">
        <f t="shared" si="20"/>
        <v>-999</v>
      </c>
      <c r="CC33" s="48">
        <v>-999</v>
      </c>
      <c r="CD33" s="44">
        <f t="shared" si="21"/>
        <v>-999</v>
      </c>
      <c r="CE33" s="55">
        <v>-999</v>
      </c>
      <c r="CF33" s="129" t="s">
        <v>555</v>
      </c>
      <c r="CG33" s="7" t="b">
        <v>1</v>
      </c>
      <c r="CH33" s="10" t="b">
        <v>0</v>
      </c>
    </row>
    <row r="34" spans="1:86" ht="21" customHeight="1">
      <c r="A34" s="32" t="s">
        <v>612</v>
      </c>
      <c r="B34" s="23" t="s">
        <v>477</v>
      </c>
      <c r="C34" s="38" t="s">
        <v>240</v>
      </c>
      <c r="D34" s="39" t="s">
        <v>242</v>
      </c>
      <c r="E34" s="38" t="s">
        <v>28</v>
      </c>
      <c r="F34">
        <v>2</v>
      </c>
      <c r="G34" s="38">
        <v>10184</v>
      </c>
      <c r="H34" s="38" t="s">
        <v>29</v>
      </c>
      <c r="I34" s="38" t="s">
        <v>241</v>
      </c>
      <c r="J34" t="s">
        <v>531</v>
      </c>
      <c r="K34" t="s">
        <v>527</v>
      </c>
      <c r="L34" s="48">
        <v>57.4</v>
      </c>
      <c r="M34" s="40">
        <v>76</v>
      </c>
      <c r="N34" s="40">
        <v>-999</v>
      </c>
      <c r="O34" s="40">
        <v>-999</v>
      </c>
      <c r="P34" s="40">
        <v>-999</v>
      </c>
      <c r="Q34" s="40">
        <v>-999</v>
      </c>
      <c r="R34" s="40">
        <v>-999</v>
      </c>
      <c r="S34" s="96">
        <v>16.600000000000001</v>
      </c>
      <c r="T34" s="112" t="s">
        <v>243</v>
      </c>
      <c r="U34" s="98">
        <v>-999</v>
      </c>
      <c r="V34" s="112">
        <v>-999</v>
      </c>
      <c r="W34" s="98">
        <v>-999</v>
      </c>
      <c r="X34" s="112">
        <v>-999</v>
      </c>
      <c r="Y34" s="98">
        <v>-999</v>
      </c>
      <c r="Z34" s="112">
        <v>-999</v>
      </c>
      <c r="AA34" s="98">
        <v>-999</v>
      </c>
      <c r="AB34" s="112">
        <v>-999</v>
      </c>
      <c r="AC34" s="63">
        <v>23</v>
      </c>
      <c r="AD34" s="132">
        <v>0.8214285714285714</v>
      </c>
      <c r="AE34" s="144">
        <f t="shared" ref="AE34:AE65" si="23">IF(COUNTIF(AG34:AJ34,TRUE)&lt;&gt;0,COUNTIF(AG34:AJ34,TRUE)/4,0)</f>
        <v>0.25</v>
      </c>
      <c r="AF34" s="146">
        <f t="shared" ref="AF34:AF65" si="24">(AD34*0.66)+(AE34*0.34)</f>
        <v>0.62714285714285711</v>
      </c>
      <c r="AG34" s="29" t="b">
        <v>0</v>
      </c>
      <c r="AH34" s="29" t="b">
        <v>0</v>
      </c>
      <c r="AI34" s="29" t="b">
        <v>1</v>
      </c>
      <c r="AJ34" s="29" t="b">
        <v>0</v>
      </c>
      <c r="AK34" s="73" t="s">
        <v>190</v>
      </c>
      <c r="AL34" s="48">
        <v>-999</v>
      </c>
      <c r="AM34" s="55">
        <f t="shared" ref="AM34:AM65" si="25">IF(AL34&lt;&gt;-999,SQRT(AL34*(100-AL34)/$G34),-999)</f>
        <v>-999</v>
      </c>
      <c r="AN34" s="149">
        <f t="shared" si="22"/>
        <v>-999</v>
      </c>
      <c r="AO34" s="48">
        <v>-999</v>
      </c>
      <c r="AP34" s="55">
        <f t="shared" ref="AP34:AP65" si="26">IF(AO34&lt;&gt;-999,SQRT(AO34*(100-AO34)/$G34),-999)</f>
        <v>-999</v>
      </c>
      <c r="AQ34" s="149">
        <f t="shared" ref="AQ34:AQ65" si="27">IF(AO34&lt;&gt;-999,(AO34/100)*$G34,-999)</f>
        <v>-999</v>
      </c>
      <c r="AR34" s="48">
        <v>31.3</v>
      </c>
      <c r="AS34" s="55">
        <f t="shared" ref="AS34:AS65" si="28">IF(AR34&lt;&gt;-999,SQRT(AR34*(100-AR34)/$G34),-999)</f>
        <v>0.45950616444291248</v>
      </c>
      <c r="AT34" s="149">
        <f t="shared" ref="AT34:AT65" si="29">IF(AR34&lt;&gt;-999,(AR34/100)*$G34,-999)</f>
        <v>3187.5920000000001</v>
      </c>
      <c r="AU34" s="48">
        <v>4.0999999999999996</v>
      </c>
      <c r="AV34" s="55">
        <f t="shared" ref="AV34:AV65" si="30">IF(AU34&lt;&gt;-999,SQRT(AU34*(100-AU34)/$G34),-999)</f>
        <v>0.19649071664636247</v>
      </c>
      <c r="AW34" s="149">
        <f t="shared" ref="AW34:AW65" si="31">IF(AU34&lt;&gt;-999,(AU34/100)*$G34,-999)</f>
        <v>417.54399999999993</v>
      </c>
      <c r="AX34" s="48">
        <v>0</v>
      </c>
      <c r="AY34" s="55">
        <f t="shared" ref="AY34:AY65" si="32">IF(AX34&lt;&gt;-999,SQRT(AX34*(100-AX34)/$G34),-999)</f>
        <v>0</v>
      </c>
      <c r="AZ34" s="149">
        <f t="shared" ref="AZ34:AZ65" si="33">IF(AX34&lt;&gt;-999,(AX34/100)*$G34,-999)</f>
        <v>0</v>
      </c>
      <c r="BA34" s="75">
        <v>35.4</v>
      </c>
      <c r="BB34" s="55">
        <f t="shared" ref="BB34:BB65" si="34">IF(BA34&lt;&gt;-999,SQRT(BA34*(100-BA34)/$G34),-999)</f>
        <v>0.47386943223420741</v>
      </c>
      <c r="BC34" s="55">
        <f t="shared" ref="BC34:BC65" si="35">IF(G34&lt;&gt;-999,(BA34/100)*G34,-999)</f>
        <v>3605.136</v>
      </c>
      <c r="BD34" s="55">
        <v>-999</v>
      </c>
      <c r="BE34" s="48">
        <v>-999</v>
      </c>
      <c r="BF34" s="48">
        <v>-999</v>
      </c>
      <c r="BG34" s="48">
        <v>-999</v>
      </c>
      <c r="BH34" s="48">
        <v>-999</v>
      </c>
      <c r="BI34" s="75">
        <v>-999</v>
      </c>
      <c r="BJ34" s="81">
        <f t="shared" ref="BJ34:BJ65" si="36">IF(BI34&lt;&gt;-999,(BI34/100)*$G34,-999)</f>
        <v>-999</v>
      </c>
      <c r="BK34" s="55">
        <f t="shared" ref="BK34:BK65" si="37">IF(BI34&lt;&gt;-999,SQRT(BI34*(100-BI34)/$G34),-999)</f>
        <v>-999</v>
      </c>
      <c r="BL34" s="136">
        <v>-999</v>
      </c>
      <c r="BM34" s="48">
        <v>-999</v>
      </c>
      <c r="BN34" s="48">
        <v>-999</v>
      </c>
      <c r="BO34" s="48">
        <v>-999</v>
      </c>
      <c r="BP34" s="48">
        <v>-999</v>
      </c>
      <c r="BQ34" s="75">
        <v>-999</v>
      </c>
      <c r="BR34" s="81">
        <f t="shared" ref="BR34:BR65" si="38">IF(BQ34&lt;&gt;-999,(BQ34/100)*$G34,-999)</f>
        <v>-999</v>
      </c>
      <c r="BS34" s="55">
        <f t="shared" ref="BS34:BS65" si="39">IF(BQ34&lt;&gt;-999,SQRT(BQ34*(100-BQ34)/$G34),-999)</f>
        <v>-999</v>
      </c>
      <c r="BT34" s="73">
        <v>-999</v>
      </c>
      <c r="BU34" s="29">
        <v>-999</v>
      </c>
      <c r="BV34" s="55">
        <f t="shared" ref="BV34:BV65" si="40">IF(BU34&lt;&gt;-999,SQRT(BU34*(100-BU34)/$G34),-999)</f>
        <v>-999</v>
      </c>
      <c r="BW34" s="29">
        <v>-999</v>
      </c>
      <c r="BX34" s="55">
        <f t="shared" ref="BX34:BX65" si="41">IF(BW34&lt;&gt;-999,SQRT(BW34*(100-BW34)/$G34),-999)</f>
        <v>-999</v>
      </c>
      <c r="BY34" s="29">
        <v>-999</v>
      </c>
      <c r="BZ34" s="55">
        <f t="shared" ref="BZ34:BZ65" si="42">IF(BY34&lt;&gt;-999,SQRT(BY34*(100-BY34)/$G34),-999)</f>
        <v>-999</v>
      </c>
      <c r="CA34" s="29">
        <v>-999</v>
      </c>
      <c r="CB34" s="55">
        <f t="shared" ref="CB34:CB65" si="43">IF(CA34&lt;&gt;-999,SQRT(CA34*(100-CA34)/$G34),-999)</f>
        <v>-999</v>
      </c>
      <c r="CC34" s="29">
        <v>-999</v>
      </c>
      <c r="CD34" s="55">
        <f t="shared" ref="CD34:CD65" si="44">IF(CC34&lt;&gt;-999,SQRT(CC34*(100-CC34)/$G34),-999)</f>
        <v>-999</v>
      </c>
      <c r="CE34" s="55">
        <v>-999</v>
      </c>
      <c r="CF34" s="155" t="s">
        <v>555</v>
      </c>
      <c r="CG34" s="13" t="b">
        <v>1</v>
      </c>
      <c r="CH34" s="10" t="b">
        <v>0</v>
      </c>
    </row>
    <row r="35" spans="1:86" ht="21" customHeight="1">
      <c r="A35" s="32" t="s">
        <v>613</v>
      </c>
      <c r="B35" s="23" t="s">
        <v>478</v>
      </c>
      <c r="C35" s="38" t="s">
        <v>244</v>
      </c>
      <c r="D35" s="39" t="s">
        <v>245</v>
      </c>
      <c r="E35" s="38" t="s">
        <v>246</v>
      </c>
      <c r="F35">
        <v>6</v>
      </c>
      <c r="G35" s="38">
        <v>876</v>
      </c>
      <c r="H35" s="38" t="s">
        <v>29</v>
      </c>
      <c r="I35" s="38" t="s">
        <v>249</v>
      </c>
      <c r="J35" t="s">
        <v>522</v>
      </c>
      <c r="K35"/>
      <c r="L35" s="48">
        <v>52.1</v>
      </c>
      <c r="M35" s="40">
        <v>42.9</v>
      </c>
      <c r="N35" s="40">
        <v>-999</v>
      </c>
      <c r="O35" s="40">
        <v>-999</v>
      </c>
      <c r="P35" s="40">
        <v>130.19999999999999</v>
      </c>
      <c r="Q35" s="40">
        <v>80.900000000000006</v>
      </c>
      <c r="R35" s="40">
        <v>-999</v>
      </c>
      <c r="S35" s="96">
        <v>19.600000000000001</v>
      </c>
      <c r="T35" s="112" t="s">
        <v>247</v>
      </c>
      <c r="U35" s="98">
        <v>38.4</v>
      </c>
      <c r="V35" s="112" t="s">
        <v>218</v>
      </c>
      <c r="W35" s="98">
        <v>-999</v>
      </c>
      <c r="X35" s="112" t="s">
        <v>220</v>
      </c>
      <c r="Y35" s="98">
        <v>-999</v>
      </c>
      <c r="Z35" s="112">
        <v>-999</v>
      </c>
      <c r="AA35" s="98">
        <v>19.8</v>
      </c>
      <c r="AB35" s="112" t="s">
        <v>25</v>
      </c>
      <c r="AC35" s="63">
        <v>21</v>
      </c>
      <c r="AD35" s="132">
        <v>0.75</v>
      </c>
      <c r="AE35" s="144">
        <f t="shared" si="23"/>
        <v>0.75</v>
      </c>
      <c r="AF35" s="146">
        <f t="shared" si="24"/>
        <v>0.75</v>
      </c>
      <c r="AG35" s="29" t="b">
        <v>0</v>
      </c>
      <c r="AH35" s="29" t="b">
        <v>1</v>
      </c>
      <c r="AI35" s="29" t="b">
        <v>1</v>
      </c>
      <c r="AJ35" s="29" t="b">
        <v>1</v>
      </c>
      <c r="AK35" s="73" t="s">
        <v>192</v>
      </c>
      <c r="AL35" s="48">
        <v>4.5999999999999996</v>
      </c>
      <c r="AM35" s="55">
        <f t="shared" si="25"/>
        <v>0.70778450400498949</v>
      </c>
      <c r="AN35" s="149">
        <f t="shared" ref="AN35:AN66" si="45">IF(AL35&lt;&gt;-999,(AL35/100)*G35,-999)</f>
        <v>40.295999999999999</v>
      </c>
      <c r="AO35" s="48">
        <v>2.1</v>
      </c>
      <c r="AP35" s="55">
        <f t="shared" si="26"/>
        <v>0.48444997762608871</v>
      </c>
      <c r="AQ35" s="149">
        <f t="shared" si="27"/>
        <v>18.396000000000001</v>
      </c>
      <c r="AR35" s="48">
        <v>2.2999999999999998</v>
      </c>
      <c r="AS35" s="55">
        <f t="shared" si="28"/>
        <v>0.50647632209233895</v>
      </c>
      <c r="AT35" s="149">
        <f t="shared" si="29"/>
        <v>20.148</v>
      </c>
      <c r="AU35" s="48">
        <v>0.2</v>
      </c>
      <c r="AV35" s="55">
        <f t="shared" si="30"/>
        <v>0.15094829620719102</v>
      </c>
      <c r="AW35" s="149">
        <f t="shared" si="31"/>
        <v>1.752</v>
      </c>
      <c r="AX35" s="48">
        <v>0.4</v>
      </c>
      <c r="AY35" s="55">
        <f t="shared" si="32"/>
        <v>0.21325911951143972</v>
      </c>
      <c r="AZ35" s="149">
        <f t="shared" si="33"/>
        <v>3.504</v>
      </c>
      <c r="BA35" s="75">
        <v>9.1</v>
      </c>
      <c r="BB35" s="55">
        <f t="shared" si="34"/>
        <v>0.97174112906566235</v>
      </c>
      <c r="BC35" s="55">
        <f t="shared" si="35"/>
        <v>79.715999999999994</v>
      </c>
      <c r="BD35" s="55">
        <v>-999</v>
      </c>
      <c r="BE35" s="48">
        <v>-999</v>
      </c>
      <c r="BF35" s="48">
        <v>-999</v>
      </c>
      <c r="BG35" s="48">
        <v>-999</v>
      </c>
      <c r="BH35" s="48">
        <v>-999</v>
      </c>
      <c r="BI35" s="75">
        <v>-999</v>
      </c>
      <c r="BJ35" s="81">
        <f t="shared" si="36"/>
        <v>-999</v>
      </c>
      <c r="BK35" s="55">
        <f t="shared" si="37"/>
        <v>-999</v>
      </c>
      <c r="BL35" s="136">
        <v>-999</v>
      </c>
      <c r="BM35" s="48">
        <v>-999</v>
      </c>
      <c r="BN35" s="48">
        <v>-999</v>
      </c>
      <c r="BO35" s="48">
        <v>-999</v>
      </c>
      <c r="BP35" s="48">
        <v>-999</v>
      </c>
      <c r="BQ35" s="75">
        <v>-999</v>
      </c>
      <c r="BR35" s="81">
        <f t="shared" si="38"/>
        <v>-999</v>
      </c>
      <c r="BS35" s="55">
        <f t="shared" si="39"/>
        <v>-999</v>
      </c>
      <c r="BT35" s="73">
        <v>-999</v>
      </c>
      <c r="BU35" s="29">
        <v>-999</v>
      </c>
      <c r="BV35" s="55">
        <f t="shared" si="40"/>
        <v>-999</v>
      </c>
      <c r="BW35" s="29">
        <v>-999</v>
      </c>
      <c r="BX35" s="55">
        <f t="shared" si="41"/>
        <v>-999</v>
      </c>
      <c r="BY35" s="29">
        <v>-999</v>
      </c>
      <c r="BZ35" s="55">
        <f t="shared" si="42"/>
        <v>-999</v>
      </c>
      <c r="CA35" s="29">
        <v>-999</v>
      </c>
      <c r="CB35" s="55">
        <f t="shared" si="43"/>
        <v>-999</v>
      </c>
      <c r="CC35" s="29">
        <v>-999</v>
      </c>
      <c r="CD35" s="55">
        <f t="shared" si="44"/>
        <v>-999</v>
      </c>
      <c r="CE35" s="55">
        <v>-999</v>
      </c>
      <c r="CF35" s="155" t="s">
        <v>556</v>
      </c>
      <c r="CG35" s="13" t="b">
        <v>0</v>
      </c>
      <c r="CH35" s="10" t="b">
        <v>1</v>
      </c>
    </row>
    <row r="36" spans="1:86" ht="21" customHeight="1">
      <c r="A36" s="32" t="s">
        <v>614</v>
      </c>
      <c r="B36" s="23" t="s">
        <v>424</v>
      </c>
      <c r="C36" s="7" t="s">
        <v>72</v>
      </c>
      <c r="D36" s="8" t="s">
        <v>73</v>
      </c>
      <c r="E36" s="10" t="s">
        <v>71</v>
      </c>
      <c r="F36">
        <v>3</v>
      </c>
      <c r="G36" s="7">
        <v>10063</v>
      </c>
      <c r="H36" s="7" t="s">
        <v>23</v>
      </c>
      <c r="I36" s="7" t="s">
        <v>401</v>
      </c>
      <c r="J36" t="s">
        <v>524</v>
      </c>
      <c r="K36"/>
      <c r="L36" s="44">
        <v>58.034383384676538</v>
      </c>
      <c r="M36" s="9">
        <v>42.7</v>
      </c>
      <c r="N36" s="9">
        <v>70.8</v>
      </c>
      <c r="O36" s="12">
        <v>-999</v>
      </c>
      <c r="P36" s="12">
        <v>-999</v>
      </c>
      <c r="Q36" s="12">
        <v>-999</v>
      </c>
      <c r="R36" s="12">
        <v>97.2</v>
      </c>
      <c r="S36" s="100">
        <v>13.700000000000001</v>
      </c>
      <c r="T36" s="101" t="s">
        <v>41</v>
      </c>
      <c r="U36" s="102">
        <v>25.8</v>
      </c>
      <c r="V36" s="101" t="s">
        <v>36</v>
      </c>
      <c r="W36" s="102">
        <v>-999</v>
      </c>
      <c r="X36" s="101">
        <v>-999</v>
      </c>
      <c r="Y36" s="102">
        <v>23.2</v>
      </c>
      <c r="Z36" s="101">
        <v>-999</v>
      </c>
      <c r="AA36" s="102">
        <v>13.100000000000001</v>
      </c>
      <c r="AB36" s="101">
        <v>-999</v>
      </c>
      <c r="AC36" s="64">
        <v>23</v>
      </c>
      <c r="AD36" s="131">
        <f>AC36/28</f>
        <v>0.8214285714285714</v>
      </c>
      <c r="AE36" s="144">
        <f t="shared" si="23"/>
        <v>0.75</v>
      </c>
      <c r="AF36" s="146">
        <f t="shared" si="24"/>
        <v>0.79714285714285715</v>
      </c>
      <c r="AG36" s="9" t="b">
        <v>1</v>
      </c>
      <c r="AH36" s="9" t="b">
        <v>1</v>
      </c>
      <c r="AI36" s="9" t="b">
        <v>1</v>
      </c>
      <c r="AJ36" s="9" t="b">
        <v>0</v>
      </c>
      <c r="AK36" s="71" t="s">
        <v>190</v>
      </c>
      <c r="AL36" s="45">
        <v>-999</v>
      </c>
      <c r="AM36" s="44">
        <f t="shared" si="25"/>
        <v>-999</v>
      </c>
      <c r="AN36" s="149">
        <f t="shared" si="45"/>
        <v>-999</v>
      </c>
      <c r="AO36" s="45">
        <v>-999</v>
      </c>
      <c r="AP36" s="44">
        <f t="shared" si="26"/>
        <v>-999</v>
      </c>
      <c r="AQ36" s="149">
        <f t="shared" si="27"/>
        <v>-999</v>
      </c>
      <c r="AR36" s="45">
        <v>18.748799999999999</v>
      </c>
      <c r="AS36" s="44">
        <f t="shared" si="28"/>
        <v>0.38907909203003188</v>
      </c>
      <c r="AT36" s="149">
        <f t="shared" si="29"/>
        <v>1886.691744</v>
      </c>
      <c r="AU36" s="45">
        <v>0.1323</v>
      </c>
      <c r="AV36" s="44">
        <f t="shared" si="30"/>
        <v>3.6235037052084744E-2</v>
      </c>
      <c r="AW36" s="149">
        <f t="shared" si="31"/>
        <v>13.313348999999999</v>
      </c>
      <c r="AX36" s="45">
        <v>0.189</v>
      </c>
      <c r="AY36" s="44">
        <f t="shared" si="32"/>
        <v>4.3296856789041764E-2</v>
      </c>
      <c r="AZ36" s="149">
        <f t="shared" si="33"/>
        <v>19.019069999999999</v>
      </c>
      <c r="BA36" s="76">
        <v>18.899999999999999</v>
      </c>
      <c r="BB36" s="44">
        <f t="shared" si="34"/>
        <v>0.39028116513163175</v>
      </c>
      <c r="BC36" s="55">
        <f t="shared" si="35"/>
        <v>1901.9069999999997</v>
      </c>
      <c r="BD36" s="44">
        <v>-999</v>
      </c>
      <c r="BE36" s="45">
        <v>-999</v>
      </c>
      <c r="BF36" s="45">
        <v>-999</v>
      </c>
      <c r="BG36" s="45">
        <v>-999</v>
      </c>
      <c r="BH36" s="45">
        <v>-999</v>
      </c>
      <c r="BI36" s="76">
        <v>-999</v>
      </c>
      <c r="BJ36" s="81">
        <f t="shared" si="36"/>
        <v>-999</v>
      </c>
      <c r="BK36" s="44">
        <f t="shared" si="37"/>
        <v>-999</v>
      </c>
      <c r="BL36" s="137">
        <v>-999</v>
      </c>
      <c r="BM36" s="45">
        <v>-999</v>
      </c>
      <c r="BN36" s="45">
        <v>-999</v>
      </c>
      <c r="BO36" s="45">
        <v>-999</v>
      </c>
      <c r="BP36" s="45">
        <v>-999</v>
      </c>
      <c r="BQ36" s="76">
        <v>-999</v>
      </c>
      <c r="BR36" s="81">
        <f t="shared" si="38"/>
        <v>-999</v>
      </c>
      <c r="BS36" s="44">
        <f t="shared" si="39"/>
        <v>-999</v>
      </c>
      <c r="BT36" s="71">
        <v>-999</v>
      </c>
      <c r="BU36" s="48">
        <v>-999</v>
      </c>
      <c r="BV36" s="44">
        <f t="shared" si="40"/>
        <v>-999</v>
      </c>
      <c r="BW36" s="48">
        <v>-999</v>
      </c>
      <c r="BX36" s="44">
        <f t="shared" si="41"/>
        <v>-999</v>
      </c>
      <c r="BY36" s="48">
        <v>-999</v>
      </c>
      <c r="BZ36" s="44">
        <f t="shared" si="42"/>
        <v>-999</v>
      </c>
      <c r="CA36" s="48">
        <v>-999</v>
      </c>
      <c r="CB36" s="44">
        <f t="shared" si="43"/>
        <v>-999</v>
      </c>
      <c r="CC36" s="48">
        <v>-999</v>
      </c>
      <c r="CD36" s="44">
        <f t="shared" si="44"/>
        <v>-999</v>
      </c>
      <c r="CE36" s="55">
        <v>-999</v>
      </c>
      <c r="CF36" s="129" t="s">
        <v>555</v>
      </c>
      <c r="CG36" s="13" t="b">
        <v>1</v>
      </c>
      <c r="CH36" s="23" t="b">
        <v>1</v>
      </c>
    </row>
    <row r="37" spans="1:86" ht="21" customHeight="1">
      <c r="A37" s="32" t="s">
        <v>615</v>
      </c>
      <c r="B37" s="23" t="s">
        <v>479</v>
      </c>
      <c r="C37" s="38" t="s">
        <v>248</v>
      </c>
      <c r="D37" s="39" t="s">
        <v>698</v>
      </c>
      <c r="E37" s="38" t="s">
        <v>115</v>
      </c>
      <c r="F37">
        <v>5</v>
      </c>
      <c r="G37" s="38">
        <v>6001</v>
      </c>
      <c r="H37" s="38" t="s">
        <v>29</v>
      </c>
      <c r="I37" s="38" t="s">
        <v>250</v>
      </c>
      <c r="J37" t="s">
        <v>522</v>
      </c>
      <c r="K37"/>
      <c r="L37" s="48">
        <v>-999</v>
      </c>
      <c r="M37" s="48">
        <v>-999</v>
      </c>
      <c r="N37" s="48">
        <v>-999</v>
      </c>
      <c r="O37" s="48">
        <v>-999</v>
      </c>
      <c r="P37" s="48">
        <v>-999</v>
      </c>
      <c r="Q37" s="48">
        <v>-999</v>
      </c>
      <c r="R37" s="48">
        <v>-999</v>
      </c>
      <c r="S37" s="153">
        <v>-999</v>
      </c>
      <c r="T37" s="112" t="s">
        <v>251</v>
      </c>
      <c r="U37" s="98">
        <v>-999</v>
      </c>
      <c r="V37" s="112" t="s">
        <v>218</v>
      </c>
      <c r="W37" s="98">
        <v>-999</v>
      </c>
      <c r="X37" s="112">
        <v>-999</v>
      </c>
      <c r="Y37" s="98">
        <v>-999</v>
      </c>
      <c r="Z37" s="112">
        <v>-999</v>
      </c>
      <c r="AA37" s="98">
        <v>-999</v>
      </c>
      <c r="AB37" s="112">
        <v>-999</v>
      </c>
      <c r="AC37" s="63">
        <v>20</v>
      </c>
      <c r="AD37" s="132">
        <v>0.7142857142857143</v>
      </c>
      <c r="AE37" s="144">
        <f t="shared" si="23"/>
        <v>0</v>
      </c>
      <c r="AF37" s="146">
        <f t="shared" si="24"/>
        <v>0.47142857142857147</v>
      </c>
      <c r="AG37" s="29" t="b">
        <v>0</v>
      </c>
      <c r="AH37" s="29" t="b">
        <v>0</v>
      </c>
      <c r="AI37" s="29" t="b">
        <v>0</v>
      </c>
      <c r="AJ37" s="29" t="b">
        <v>0</v>
      </c>
      <c r="AK37" s="73" t="s">
        <v>190</v>
      </c>
      <c r="AL37" s="48">
        <v>-999</v>
      </c>
      <c r="AM37" s="55">
        <f t="shared" si="25"/>
        <v>-999</v>
      </c>
      <c r="AN37" s="149">
        <f t="shared" si="45"/>
        <v>-999</v>
      </c>
      <c r="AO37" s="48">
        <v>-999</v>
      </c>
      <c r="AP37" s="55">
        <f t="shared" si="26"/>
        <v>-999</v>
      </c>
      <c r="AQ37" s="149">
        <f t="shared" si="27"/>
        <v>-999</v>
      </c>
      <c r="AR37" s="48">
        <v>6.5</v>
      </c>
      <c r="AS37" s="55">
        <f t="shared" si="28"/>
        <v>0.31823699900453239</v>
      </c>
      <c r="AT37" s="149">
        <f t="shared" si="29"/>
        <v>390.065</v>
      </c>
      <c r="AU37" s="48">
        <v>0.3</v>
      </c>
      <c r="AV37" s="55">
        <f t="shared" si="30"/>
        <v>7.059864945674113E-2</v>
      </c>
      <c r="AW37" s="149">
        <f t="shared" si="31"/>
        <v>18.003</v>
      </c>
      <c r="AX37" s="48">
        <v>0.1</v>
      </c>
      <c r="AY37" s="55">
        <f t="shared" si="32"/>
        <v>4.0801011583566076E-2</v>
      </c>
      <c r="AZ37" s="149">
        <f t="shared" si="33"/>
        <v>6.0010000000000003</v>
      </c>
      <c r="BA37" s="85">
        <v>6.9</v>
      </c>
      <c r="BB37" s="55">
        <f t="shared" si="34"/>
        <v>0.32718062107475976</v>
      </c>
      <c r="BC37" s="55">
        <f t="shared" si="35"/>
        <v>414.06900000000002</v>
      </c>
      <c r="BD37" s="55">
        <v>-999</v>
      </c>
      <c r="BE37" s="48">
        <v>-999</v>
      </c>
      <c r="BF37" s="48">
        <v>-999</v>
      </c>
      <c r="BG37" s="48">
        <v>-999</v>
      </c>
      <c r="BH37" s="48">
        <v>-999</v>
      </c>
      <c r="BI37" s="85">
        <v>-999</v>
      </c>
      <c r="BJ37" s="81">
        <f t="shared" si="36"/>
        <v>-999</v>
      </c>
      <c r="BK37" s="55">
        <f t="shared" si="37"/>
        <v>-999</v>
      </c>
      <c r="BL37" s="136">
        <v>-999</v>
      </c>
      <c r="BM37" s="48">
        <v>-999</v>
      </c>
      <c r="BN37" s="48">
        <v>-999</v>
      </c>
      <c r="BO37" s="48">
        <v>-999</v>
      </c>
      <c r="BP37" s="48">
        <v>-999</v>
      </c>
      <c r="BQ37" s="85">
        <v>-999</v>
      </c>
      <c r="BR37" s="81">
        <f t="shared" si="38"/>
        <v>-999</v>
      </c>
      <c r="BS37" s="55">
        <f t="shared" si="39"/>
        <v>-999</v>
      </c>
      <c r="BT37" s="73">
        <v>-999</v>
      </c>
      <c r="BU37" s="29">
        <v>-999</v>
      </c>
      <c r="BV37" s="55">
        <f t="shared" si="40"/>
        <v>-999</v>
      </c>
      <c r="BW37" s="29">
        <v>-999</v>
      </c>
      <c r="BX37" s="55">
        <f t="shared" si="41"/>
        <v>-999</v>
      </c>
      <c r="BY37" s="29">
        <v>-999</v>
      </c>
      <c r="BZ37" s="55">
        <f t="shared" si="42"/>
        <v>-999</v>
      </c>
      <c r="CA37" s="29">
        <v>-999</v>
      </c>
      <c r="CB37" s="55">
        <f t="shared" si="43"/>
        <v>-999</v>
      </c>
      <c r="CC37" s="29">
        <v>-999</v>
      </c>
      <c r="CD37" s="55">
        <f t="shared" si="44"/>
        <v>-999</v>
      </c>
      <c r="CE37" s="55">
        <v>-999</v>
      </c>
      <c r="CF37" s="155" t="s">
        <v>555</v>
      </c>
      <c r="CG37" s="13" t="b">
        <v>0</v>
      </c>
      <c r="CH37" s="10" t="b">
        <v>1</v>
      </c>
    </row>
    <row r="38" spans="1:86" ht="21" customHeight="1">
      <c r="A38" s="32" t="s">
        <v>616</v>
      </c>
      <c r="B38" s="23" t="s">
        <v>425</v>
      </c>
      <c r="C38" s="23" t="s">
        <v>186</v>
      </c>
      <c r="D38" s="24">
        <v>2014</v>
      </c>
      <c r="E38" s="23" t="s">
        <v>34</v>
      </c>
      <c r="F38">
        <v>5</v>
      </c>
      <c r="G38" s="23">
        <v>3432</v>
      </c>
      <c r="H38" s="23" t="s">
        <v>23</v>
      </c>
      <c r="I38" s="23" t="s">
        <v>402</v>
      </c>
      <c r="J38" t="s">
        <v>524</v>
      </c>
      <c r="K38"/>
      <c r="L38" s="43">
        <v>53.5</v>
      </c>
      <c r="M38" s="26">
        <v>48.4</v>
      </c>
      <c r="N38" s="26">
        <v>-999</v>
      </c>
      <c r="O38" s="26">
        <v>-999</v>
      </c>
      <c r="P38" s="26">
        <v>-999</v>
      </c>
      <c r="Q38" s="26">
        <v>-999</v>
      </c>
      <c r="R38" s="26">
        <v>-999</v>
      </c>
      <c r="S38" s="103">
        <v>7.1</v>
      </c>
      <c r="T38" s="104" t="s">
        <v>57</v>
      </c>
      <c r="U38" s="105">
        <v>23.8</v>
      </c>
      <c r="V38" s="104" t="s">
        <v>48</v>
      </c>
      <c r="W38" s="105">
        <v>6.09</v>
      </c>
      <c r="X38" s="104">
        <v>-999</v>
      </c>
      <c r="Y38" s="105">
        <v>-999</v>
      </c>
      <c r="Z38" s="104">
        <v>-999</v>
      </c>
      <c r="AA38" s="105">
        <v>-999</v>
      </c>
      <c r="AB38" s="104">
        <v>-999</v>
      </c>
      <c r="AC38" s="63">
        <v>9</v>
      </c>
      <c r="AD38" s="131">
        <f>AC38/28</f>
        <v>0.32142857142857145</v>
      </c>
      <c r="AE38" s="144">
        <f t="shared" si="23"/>
        <v>0</v>
      </c>
      <c r="AF38" s="146">
        <f t="shared" si="24"/>
        <v>0.21214285714285716</v>
      </c>
      <c r="AG38" s="27" t="b">
        <v>0</v>
      </c>
      <c r="AH38" s="27" t="b">
        <v>0</v>
      </c>
      <c r="AI38" s="27" t="b">
        <v>0</v>
      </c>
      <c r="AJ38" s="27" t="b">
        <v>0</v>
      </c>
      <c r="AK38" s="71" t="s">
        <v>190</v>
      </c>
      <c r="AL38" s="43">
        <v>-999</v>
      </c>
      <c r="AM38" s="44">
        <f t="shared" si="25"/>
        <v>-999</v>
      </c>
      <c r="AN38" s="149">
        <f t="shared" si="45"/>
        <v>-999</v>
      </c>
      <c r="AO38" s="43">
        <v>-999</v>
      </c>
      <c r="AP38" s="44">
        <f t="shared" si="26"/>
        <v>-999</v>
      </c>
      <c r="AQ38" s="149">
        <f t="shared" si="27"/>
        <v>-999</v>
      </c>
      <c r="AR38" s="43">
        <v>-999</v>
      </c>
      <c r="AS38" s="44">
        <f t="shared" si="28"/>
        <v>-999</v>
      </c>
      <c r="AT38" s="149">
        <f t="shared" si="29"/>
        <v>-999</v>
      </c>
      <c r="AU38" s="43">
        <v>-999</v>
      </c>
      <c r="AV38" s="44">
        <f t="shared" si="30"/>
        <v>-999</v>
      </c>
      <c r="AW38" s="149">
        <f t="shared" si="31"/>
        <v>-999</v>
      </c>
      <c r="AX38" s="43">
        <v>-999</v>
      </c>
      <c r="AY38" s="44">
        <f t="shared" si="32"/>
        <v>-999</v>
      </c>
      <c r="AZ38" s="149">
        <f t="shared" si="33"/>
        <v>-999</v>
      </c>
      <c r="BA38" s="77">
        <v>9.5</v>
      </c>
      <c r="BB38" s="44">
        <f t="shared" si="34"/>
        <v>0.50050964701982192</v>
      </c>
      <c r="BC38" s="55">
        <f t="shared" si="35"/>
        <v>326.04000000000002</v>
      </c>
      <c r="BD38" s="56">
        <v>-999</v>
      </c>
      <c r="BE38" s="43">
        <v>-999</v>
      </c>
      <c r="BF38" s="43">
        <v>-999</v>
      </c>
      <c r="BG38" s="43">
        <v>-999</v>
      </c>
      <c r="BH38" s="43">
        <v>-999</v>
      </c>
      <c r="BI38" s="77">
        <v>-999</v>
      </c>
      <c r="BJ38" s="81">
        <f t="shared" si="36"/>
        <v>-999</v>
      </c>
      <c r="BK38" s="44">
        <f t="shared" si="37"/>
        <v>-999</v>
      </c>
      <c r="BL38" s="138">
        <v>-999</v>
      </c>
      <c r="BM38" s="43">
        <v>-999</v>
      </c>
      <c r="BN38" s="43">
        <v>-999</v>
      </c>
      <c r="BO38" s="43">
        <v>-999</v>
      </c>
      <c r="BP38" s="43">
        <v>-999</v>
      </c>
      <c r="BQ38" s="77">
        <v>-999</v>
      </c>
      <c r="BR38" s="81">
        <f t="shared" si="38"/>
        <v>-999</v>
      </c>
      <c r="BS38" s="44">
        <f t="shared" si="39"/>
        <v>-999</v>
      </c>
      <c r="BT38" s="71">
        <v>-999</v>
      </c>
      <c r="BU38" s="48">
        <v>-999</v>
      </c>
      <c r="BV38" s="44">
        <f t="shared" si="40"/>
        <v>-999</v>
      </c>
      <c r="BW38" s="48">
        <v>-999</v>
      </c>
      <c r="BX38" s="44">
        <f t="shared" si="41"/>
        <v>-999</v>
      </c>
      <c r="BY38" s="48">
        <v>-999</v>
      </c>
      <c r="BZ38" s="44">
        <f t="shared" si="42"/>
        <v>-999</v>
      </c>
      <c r="CA38" s="48">
        <v>-999</v>
      </c>
      <c r="CB38" s="44">
        <f t="shared" si="43"/>
        <v>-999</v>
      </c>
      <c r="CC38" s="48">
        <v>-999</v>
      </c>
      <c r="CD38" s="44">
        <f t="shared" si="44"/>
        <v>-999</v>
      </c>
      <c r="CE38" s="55">
        <v>-999</v>
      </c>
      <c r="CF38" s="129" t="s">
        <v>555</v>
      </c>
      <c r="CG38" s="13" t="b">
        <v>0</v>
      </c>
      <c r="CH38" s="10" t="b">
        <v>0</v>
      </c>
    </row>
    <row r="39" spans="1:86" ht="21" customHeight="1">
      <c r="A39" s="32" t="s">
        <v>617</v>
      </c>
      <c r="B39" s="23" t="s">
        <v>480</v>
      </c>
      <c r="C39" s="38" t="s">
        <v>252</v>
      </c>
      <c r="D39" s="39" t="s">
        <v>254</v>
      </c>
      <c r="E39" s="38" t="s">
        <v>253</v>
      </c>
      <c r="F39">
        <v>1</v>
      </c>
      <c r="G39" s="38">
        <v>1000</v>
      </c>
      <c r="H39" s="38" t="s">
        <v>23</v>
      </c>
      <c r="I39" s="38" t="s">
        <v>256</v>
      </c>
      <c r="J39" t="s">
        <v>522</v>
      </c>
      <c r="K39"/>
      <c r="L39" s="48">
        <v>66.599999999999994</v>
      </c>
      <c r="M39" s="40">
        <v>-999</v>
      </c>
      <c r="N39" s="40">
        <v>-999</v>
      </c>
      <c r="O39" s="40">
        <v>-999</v>
      </c>
      <c r="P39" s="40">
        <v>-999</v>
      </c>
      <c r="Q39" s="40">
        <v>-999</v>
      </c>
      <c r="R39" s="40">
        <v>-999</v>
      </c>
      <c r="S39" s="96">
        <v>4.0999999999999996</v>
      </c>
      <c r="T39" s="112" t="s">
        <v>257</v>
      </c>
      <c r="U39" s="98">
        <v>11.6</v>
      </c>
      <c r="V39" s="112" t="s">
        <v>218</v>
      </c>
      <c r="W39" s="98">
        <v>7.7</v>
      </c>
      <c r="X39" s="112" t="s">
        <v>258</v>
      </c>
      <c r="Y39" s="98">
        <v>3</v>
      </c>
      <c r="Z39" s="112" t="s">
        <v>69</v>
      </c>
      <c r="AA39" s="98">
        <v>42.4</v>
      </c>
      <c r="AB39" s="112" t="s">
        <v>259</v>
      </c>
      <c r="AC39" s="63">
        <v>19</v>
      </c>
      <c r="AD39" s="132">
        <v>0.6785714285714286</v>
      </c>
      <c r="AE39" s="144">
        <f t="shared" si="23"/>
        <v>0.25</v>
      </c>
      <c r="AF39" s="146">
        <f t="shared" si="24"/>
        <v>0.53285714285714292</v>
      </c>
      <c r="AG39" s="29" t="b">
        <v>0</v>
      </c>
      <c r="AH39" s="29" t="b">
        <v>1</v>
      </c>
      <c r="AI39" s="29" t="b">
        <v>0</v>
      </c>
      <c r="AJ39" s="29" t="b">
        <v>0</v>
      </c>
      <c r="AK39" s="73" t="s">
        <v>190</v>
      </c>
      <c r="AL39" s="48">
        <v>2.7</v>
      </c>
      <c r="AM39" s="55">
        <f t="shared" si="25"/>
        <v>0.51255243634188308</v>
      </c>
      <c r="AN39" s="149">
        <f t="shared" si="45"/>
        <v>27.000000000000004</v>
      </c>
      <c r="AO39" s="48">
        <v>3.9</v>
      </c>
      <c r="AP39" s="55">
        <f t="shared" si="26"/>
        <v>0.61220094740207642</v>
      </c>
      <c r="AQ39" s="149">
        <f t="shared" si="27"/>
        <v>39</v>
      </c>
      <c r="AR39" s="48">
        <v>6.3</v>
      </c>
      <c r="AS39" s="55">
        <f t="shared" si="28"/>
        <v>0.76831634109915947</v>
      </c>
      <c r="AT39" s="149">
        <f t="shared" si="29"/>
        <v>63</v>
      </c>
      <c r="AU39" s="48">
        <v>0.1</v>
      </c>
      <c r="AV39" s="55">
        <f t="shared" si="30"/>
        <v>9.9949987493746104E-2</v>
      </c>
      <c r="AW39" s="149">
        <f t="shared" si="31"/>
        <v>1</v>
      </c>
      <c r="AX39" s="48">
        <v>0.1</v>
      </c>
      <c r="AY39" s="55">
        <f t="shared" si="32"/>
        <v>9.9949987493746104E-2</v>
      </c>
      <c r="AZ39" s="149">
        <f t="shared" si="33"/>
        <v>1</v>
      </c>
      <c r="BA39" s="75">
        <v>13.1</v>
      </c>
      <c r="BB39" s="55">
        <f t="shared" si="34"/>
        <v>1.0669536072388528</v>
      </c>
      <c r="BC39" s="55">
        <f t="shared" si="35"/>
        <v>131</v>
      </c>
      <c r="BD39" s="55">
        <v>-999</v>
      </c>
      <c r="BE39" s="48">
        <v>-999</v>
      </c>
      <c r="BF39" s="48">
        <v>-999</v>
      </c>
      <c r="BG39" s="48">
        <v>-999</v>
      </c>
      <c r="BH39" s="48">
        <v>-999</v>
      </c>
      <c r="BI39" s="75">
        <v>-999</v>
      </c>
      <c r="BJ39" s="81">
        <f t="shared" si="36"/>
        <v>-999</v>
      </c>
      <c r="BK39" s="55">
        <f t="shared" si="37"/>
        <v>-999</v>
      </c>
      <c r="BL39" s="136">
        <v>-999</v>
      </c>
      <c r="BM39" s="48">
        <v>-999</v>
      </c>
      <c r="BN39" s="48">
        <v>-999</v>
      </c>
      <c r="BO39" s="48">
        <v>-999</v>
      </c>
      <c r="BP39" s="48">
        <v>-999</v>
      </c>
      <c r="BQ39" s="75">
        <v>-999</v>
      </c>
      <c r="BR39" s="81">
        <f t="shared" si="38"/>
        <v>-999</v>
      </c>
      <c r="BS39" s="55">
        <f t="shared" si="39"/>
        <v>-999</v>
      </c>
      <c r="BT39" s="73">
        <v>-999</v>
      </c>
      <c r="BU39" s="29">
        <v>-999</v>
      </c>
      <c r="BV39" s="55">
        <f t="shared" si="40"/>
        <v>-999</v>
      </c>
      <c r="BW39" s="29">
        <v>-999</v>
      </c>
      <c r="BX39" s="55">
        <f t="shared" si="41"/>
        <v>-999</v>
      </c>
      <c r="BY39" s="29">
        <v>-999</v>
      </c>
      <c r="BZ39" s="55">
        <f t="shared" si="42"/>
        <v>-999</v>
      </c>
      <c r="CA39" s="29">
        <v>-999</v>
      </c>
      <c r="CB39" s="55">
        <f t="shared" si="43"/>
        <v>-999</v>
      </c>
      <c r="CC39" s="29">
        <v>-999</v>
      </c>
      <c r="CD39" s="55">
        <f t="shared" si="44"/>
        <v>-999</v>
      </c>
      <c r="CE39" s="55">
        <v>-999</v>
      </c>
      <c r="CF39" s="155" t="s">
        <v>556</v>
      </c>
      <c r="CG39" s="7" t="b">
        <v>0</v>
      </c>
      <c r="CH39" s="10" t="b">
        <v>0</v>
      </c>
    </row>
    <row r="40" spans="1:86" ht="21" customHeight="1">
      <c r="A40" s="32" t="s">
        <v>618</v>
      </c>
      <c r="B40" s="23" t="s">
        <v>426</v>
      </c>
      <c r="C40" s="7" t="s">
        <v>81</v>
      </c>
      <c r="D40" s="8" t="s">
        <v>82</v>
      </c>
      <c r="E40" s="7" t="s">
        <v>83</v>
      </c>
      <c r="F40">
        <v>6</v>
      </c>
      <c r="G40" s="7">
        <v>574024</v>
      </c>
      <c r="H40" s="7" t="s">
        <v>29</v>
      </c>
      <c r="I40" s="7" t="s">
        <v>389</v>
      </c>
      <c r="J40" t="s">
        <v>522</v>
      </c>
      <c r="K40"/>
      <c r="L40" s="44">
        <v>58.086421473666604</v>
      </c>
      <c r="M40" s="9">
        <v>-999</v>
      </c>
      <c r="N40" s="9">
        <v>-999</v>
      </c>
      <c r="O40" s="9">
        <v>-999</v>
      </c>
      <c r="P40" s="9">
        <v>-999</v>
      </c>
      <c r="Q40" s="9">
        <v>-999</v>
      </c>
      <c r="R40" s="9">
        <v>-999</v>
      </c>
      <c r="S40" s="100">
        <v>-999</v>
      </c>
      <c r="T40" s="101" t="s">
        <v>84</v>
      </c>
      <c r="U40" s="102">
        <v>-999</v>
      </c>
      <c r="V40" s="101" t="s">
        <v>48</v>
      </c>
      <c r="W40" s="102">
        <v>-999</v>
      </c>
      <c r="X40" s="101" t="s">
        <v>65</v>
      </c>
      <c r="Y40" s="102">
        <v>-999</v>
      </c>
      <c r="Z40" s="101">
        <v>-999</v>
      </c>
      <c r="AA40" s="102">
        <v>-999</v>
      </c>
      <c r="AB40" s="101">
        <v>-999</v>
      </c>
      <c r="AC40" s="64">
        <v>17</v>
      </c>
      <c r="AD40" s="131">
        <f>AC40/28</f>
        <v>0.6071428571428571</v>
      </c>
      <c r="AE40" s="144">
        <f t="shared" si="23"/>
        <v>0.5</v>
      </c>
      <c r="AF40" s="146">
        <f t="shared" si="24"/>
        <v>0.57071428571428573</v>
      </c>
      <c r="AG40" s="9" t="b">
        <v>0</v>
      </c>
      <c r="AH40" s="9" t="b">
        <v>0</v>
      </c>
      <c r="AI40" s="9" t="b">
        <v>1</v>
      </c>
      <c r="AJ40" s="9" t="b">
        <v>1</v>
      </c>
      <c r="AK40" s="71" t="s">
        <v>190</v>
      </c>
      <c r="AL40" s="45">
        <v>0.6</v>
      </c>
      <c r="AM40" s="44">
        <f t="shared" si="25"/>
        <v>1.0193041491781385E-2</v>
      </c>
      <c r="AN40" s="149">
        <f t="shared" si="45"/>
        <v>3444.1440000000002</v>
      </c>
      <c r="AO40" s="45">
        <v>1.7000000000000002</v>
      </c>
      <c r="AP40" s="44">
        <f t="shared" si="26"/>
        <v>1.7062245804895668E-2</v>
      </c>
      <c r="AQ40" s="149">
        <f t="shared" si="27"/>
        <v>9758.4080000000013</v>
      </c>
      <c r="AR40" s="45">
        <v>10.4</v>
      </c>
      <c r="AS40" s="44">
        <f t="shared" si="28"/>
        <v>4.0290777592651754E-2</v>
      </c>
      <c r="AT40" s="149">
        <f t="shared" si="29"/>
        <v>59698.496000000006</v>
      </c>
      <c r="AU40" s="45">
        <v>0.1</v>
      </c>
      <c r="AV40" s="44">
        <f t="shared" si="30"/>
        <v>4.1717446607071702E-3</v>
      </c>
      <c r="AW40" s="149">
        <f t="shared" si="31"/>
        <v>574.024</v>
      </c>
      <c r="AX40" s="45">
        <v>0.1</v>
      </c>
      <c r="AY40" s="44">
        <f t="shared" si="32"/>
        <v>4.1717446607071702E-3</v>
      </c>
      <c r="AZ40" s="149">
        <f t="shared" si="33"/>
        <v>574.024</v>
      </c>
      <c r="BA40" s="76">
        <v>12.899999999999997</v>
      </c>
      <c r="BB40" s="44">
        <f t="shared" si="34"/>
        <v>4.4242423367403146E-2</v>
      </c>
      <c r="BC40" s="55">
        <f t="shared" si="35"/>
        <v>74049.09599999999</v>
      </c>
      <c r="BD40" s="44">
        <v>-999</v>
      </c>
      <c r="BE40" s="45">
        <v>-999</v>
      </c>
      <c r="BF40" s="45">
        <v>-999</v>
      </c>
      <c r="BG40" s="45">
        <v>-999</v>
      </c>
      <c r="BH40" s="45">
        <v>-999</v>
      </c>
      <c r="BI40" s="76">
        <v>-999</v>
      </c>
      <c r="BJ40" s="81">
        <f t="shared" si="36"/>
        <v>-999</v>
      </c>
      <c r="BK40" s="44">
        <f t="shared" si="37"/>
        <v>-999</v>
      </c>
      <c r="BL40" s="137">
        <v>-999</v>
      </c>
      <c r="BM40" s="45">
        <v>-999</v>
      </c>
      <c r="BN40" s="45">
        <v>-999</v>
      </c>
      <c r="BO40" s="45">
        <v>-999</v>
      </c>
      <c r="BP40" s="45">
        <v>-999</v>
      </c>
      <c r="BQ40" s="76">
        <v>-999</v>
      </c>
      <c r="BR40" s="81">
        <f t="shared" si="38"/>
        <v>-999</v>
      </c>
      <c r="BS40" s="44">
        <f t="shared" si="39"/>
        <v>-999</v>
      </c>
      <c r="BT40" s="71">
        <v>-999</v>
      </c>
      <c r="BU40" s="48">
        <v>-999</v>
      </c>
      <c r="BV40" s="44">
        <f t="shared" si="40"/>
        <v>-999</v>
      </c>
      <c r="BW40" s="48">
        <v>-999</v>
      </c>
      <c r="BX40" s="44">
        <f t="shared" si="41"/>
        <v>-999</v>
      </c>
      <c r="BY40" s="48">
        <v>-999</v>
      </c>
      <c r="BZ40" s="44">
        <f t="shared" si="42"/>
        <v>-999</v>
      </c>
      <c r="CA40" s="48">
        <v>-999</v>
      </c>
      <c r="CB40" s="44">
        <f t="shared" si="43"/>
        <v>-999</v>
      </c>
      <c r="CC40" s="48">
        <v>-999</v>
      </c>
      <c r="CD40" s="44">
        <f t="shared" si="44"/>
        <v>-999</v>
      </c>
      <c r="CE40" s="55">
        <v>-999</v>
      </c>
      <c r="CF40" s="129" t="s">
        <v>556</v>
      </c>
      <c r="CG40" s="7" t="b">
        <v>1</v>
      </c>
      <c r="CH40" s="10" t="b">
        <v>0</v>
      </c>
    </row>
    <row r="41" spans="1:86" ht="21" customHeight="1">
      <c r="A41" s="32" t="s">
        <v>619</v>
      </c>
      <c r="B41" s="23" t="s">
        <v>481</v>
      </c>
      <c r="C41" s="38" t="s">
        <v>582</v>
      </c>
      <c r="D41" s="39" t="s">
        <v>263</v>
      </c>
      <c r="E41" s="38" t="s">
        <v>83</v>
      </c>
      <c r="F41">
        <v>6</v>
      </c>
      <c r="G41" s="38">
        <v>271013</v>
      </c>
      <c r="H41" s="38" t="s">
        <v>29</v>
      </c>
      <c r="I41" s="38" t="s">
        <v>260</v>
      </c>
      <c r="J41" t="s">
        <v>524</v>
      </c>
      <c r="K41" t="s">
        <v>527</v>
      </c>
      <c r="L41" s="48">
        <v>62.3</v>
      </c>
      <c r="M41" s="40">
        <v>-999</v>
      </c>
      <c r="N41" s="40">
        <v>-999</v>
      </c>
      <c r="O41" s="40">
        <v>-999</v>
      </c>
      <c r="P41" s="40">
        <v>-999</v>
      </c>
      <c r="Q41" s="40">
        <v>-999</v>
      </c>
      <c r="R41" s="40">
        <v>-999</v>
      </c>
      <c r="S41" s="96">
        <v>8.8000000000000007</v>
      </c>
      <c r="T41" s="112" t="s">
        <v>262</v>
      </c>
      <c r="U41" s="98">
        <v>28.5</v>
      </c>
      <c r="V41" s="112" t="s">
        <v>261</v>
      </c>
      <c r="W41" s="98">
        <v>-999</v>
      </c>
      <c r="X41" s="112">
        <v>-999</v>
      </c>
      <c r="Y41" s="98">
        <v>-999</v>
      </c>
      <c r="Z41" s="112">
        <v>-999</v>
      </c>
      <c r="AA41" s="98">
        <v>-999</v>
      </c>
      <c r="AB41" s="112">
        <v>-999</v>
      </c>
      <c r="AC41" s="63">
        <v>17</v>
      </c>
      <c r="AD41" s="132">
        <v>0.6071428571428571</v>
      </c>
      <c r="AE41" s="144">
        <f t="shared" si="23"/>
        <v>0.75</v>
      </c>
      <c r="AF41" s="146">
        <f t="shared" si="24"/>
        <v>0.65571428571428569</v>
      </c>
      <c r="AG41" s="29" t="b">
        <v>0</v>
      </c>
      <c r="AH41" s="29" t="b">
        <v>1</v>
      </c>
      <c r="AI41" s="29" t="b">
        <v>1</v>
      </c>
      <c r="AJ41" s="29" t="b">
        <v>1</v>
      </c>
      <c r="AK41" s="73" t="s">
        <v>190</v>
      </c>
      <c r="AL41" s="48">
        <v>-999</v>
      </c>
      <c r="AM41" s="55">
        <f t="shared" si="25"/>
        <v>-999</v>
      </c>
      <c r="AN41" s="149">
        <f t="shared" si="45"/>
        <v>-999</v>
      </c>
      <c r="AO41" s="48">
        <v>-999</v>
      </c>
      <c r="AP41" s="55">
        <f t="shared" si="26"/>
        <v>-999</v>
      </c>
      <c r="AQ41" s="149">
        <f t="shared" si="27"/>
        <v>-999</v>
      </c>
      <c r="AR41" s="48">
        <v>-999</v>
      </c>
      <c r="AS41" s="55">
        <f t="shared" si="28"/>
        <v>-999</v>
      </c>
      <c r="AT41" s="149">
        <f t="shared" si="29"/>
        <v>-999</v>
      </c>
      <c r="AU41" s="48">
        <v>-999</v>
      </c>
      <c r="AV41" s="55">
        <f t="shared" si="30"/>
        <v>-999</v>
      </c>
      <c r="AW41" s="149">
        <f t="shared" si="31"/>
        <v>-999</v>
      </c>
      <c r="AX41" s="48">
        <v>-999</v>
      </c>
      <c r="AY41" s="55">
        <f t="shared" si="32"/>
        <v>-999</v>
      </c>
      <c r="AZ41" s="149">
        <f t="shared" si="33"/>
        <v>-999</v>
      </c>
      <c r="BA41" s="75">
        <v>16.3</v>
      </c>
      <c r="BB41" s="55">
        <f t="shared" si="34"/>
        <v>7.0951481695160551E-2</v>
      </c>
      <c r="BC41" s="55">
        <f t="shared" si="35"/>
        <v>44175.118999999999</v>
      </c>
      <c r="BD41" s="55">
        <v>-999</v>
      </c>
      <c r="BE41" s="48">
        <v>-999</v>
      </c>
      <c r="BF41" s="48">
        <v>-999</v>
      </c>
      <c r="BG41" s="48">
        <v>-999</v>
      </c>
      <c r="BH41" s="48">
        <v>-999</v>
      </c>
      <c r="BI41" s="75">
        <v>17.2</v>
      </c>
      <c r="BJ41" s="81">
        <f t="shared" si="36"/>
        <v>46614.235999999997</v>
      </c>
      <c r="BK41" s="55">
        <f t="shared" si="37"/>
        <v>7.2491039925741754E-2</v>
      </c>
      <c r="BL41" s="136">
        <v>-999</v>
      </c>
      <c r="BM41" s="48">
        <v>-999</v>
      </c>
      <c r="BN41" s="48">
        <v>-999</v>
      </c>
      <c r="BO41" s="48">
        <v>-999</v>
      </c>
      <c r="BP41" s="48">
        <v>-999</v>
      </c>
      <c r="BQ41" s="75">
        <v>15.4</v>
      </c>
      <c r="BR41" s="81">
        <f t="shared" si="38"/>
        <v>41736.002</v>
      </c>
      <c r="BS41" s="55">
        <f t="shared" si="39"/>
        <v>6.9334674347907396E-2</v>
      </c>
      <c r="BT41" s="73">
        <v>-999</v>
      </c>
      <c r="BU41" s="29">
        <v>-999</v>
      </c>
      <c r="BV41" s="55">
        <f t="shared" si="40"/>
        <v>-999</v>
      </c>
      <c r="BW41" s="29">
        <v>-999</v>
      </c>
      <c r="BX41" s="55">
        <f t="shared" si="41"/>
        <v>-999</v>
      </c>
      <c r="BY41" s="29">
        <v>-999</v>
      </c>
      <c r="BZ41" s="55">
        <f t="shared" si="42"/>
        <v>-999</v>
      </c>
      <c r="CA41" s="29">
        <v>-999</v>
      </c>
      <c r="CB41" s="55">
        <f t="shared" si="43"/>
        <v>-999</v>
      </c>
      <c r="CC41" s="29">
        <v>-999</v>
      </c>
      <c r="CD41" s="55">
        <f t="shared" si="44"/>
        <v>-999</v>
      </c>
      <c r="CE41" s="55">
        <v>-999</v>
      </c>
      <c r="CF41" s="155" t="s">
        <v>555</v>
      </c>
      <c r="CG41" s="23" t="b">
        <v>0</v>
      </c>
      <c r="CH41" s="10" t="b">
        <v>0</v>
      </c>
    </row>
    <row r="42" spans="1:86" ht="21" customHeight="1">
      <c r="A42" s="32" t="s">
        <v>620</v>
      </c>
      <c r="B42" s="23" t="s">
        <v>482</v>
      </c>
      <c r="C42" s="38" t="s">
        <v>264</v>
      </c>
      <c r="D42" s="39" t="s">
        <v>93</v>
      </c>
      <c r="E42" s="38" t="s">
        <v>266</v>
      </c>
      <c r="F42">
        <v>1</v>
      </c>
      <c r="G42" s="38">
        <v>2873</v>
      </c>
      <c r="H42" s="38" t="s">
        <v>29</v>
      </c>
      <c r="I42" s="38" t="s">
        <v>265</v>
      </c>
      <c r="J42" t="s">
        <v>527</v>
      </c>
      <c r="K42"/>
      <c r="L42" s="43">
        <v>52.2</v>
      </c>
      <c r="M42" s="40">
        <v>51.5</v>
      </c>
      <c r="N42" s="40">
        <v>64.8</v>
      </c>
      <c r="O42" s="40">
        <v>25.8</v>
      </c>
      <c r="P42" s="40">
        <v>137</v>
      </c>
      <c r="Q42" s="40">
        <v>86</v>
      </c>
      <c r="R42" s="40">
        <v>-999</v>
      </c>
      <c r="S42" s="96">
        <v>21.4</v>
      </c>
      <c r="T42" s="112" t="s">
        <v>267</v>
      </c>
      <c r="U42" s="98">
        <v>44.9</v>
      </c>
      <c r="V42" s="112" t="s">
        <v>261</v>
      </c>
      <c r="W42" s="98">
        <v>-999</v>
      </c>
      <c r="X42" s="112" t="s">
        <v>268</v>
      </c>
      <c r="Y42" s="98">
        <v>-999</v>
      </c>
      <c r="Z42" s="112">
        <v>-999</v>
      </c>
      <c r="AA42" s="98">
        <v>38.700000000000003</v>
      </c>
      <c r="AB42" s="112" t="s">
        <v>25</v>
      </c>
      <c r="AC42" s="63">
        <v>24</v>
      </c>
      <c r="AD42" s="132">
        <v>0.8571428571428571</v>
      </c>
      <c r="AE42" s="144">
        <f t="shared" si="23"/>
        <v>0.25</v>
      </c>
      <c r="AF42" s="146">
        <f t="shared" si="24"/>
        <v>0.65071428571428569</v>
      </c>
      <c r="AG42" s="29" t="b">
        <v>0</v>
      </c>
      <c r="AH42" s="29" t="b">
        <v>0</v>
      </c>
      <c r="AI42" s="29" t="b">
        <v>1</v>
      </c>
      <c r="AJ42" s="29" t="b">
        <v>0</v>
      </c>
      <c r="AK42" s="73" t="s">
        <v>192</v>
      </c>
      <c r="AL42" s="48">
        <v>-999</v>
      </c>
      <c r="AM42" s="55">
        <f t="shared" si="25"/>
        <v>-999</v>
      </c>
      <c r="AN42" s="149">
        <f t="shared" si="45"/>
        <v>-999</v>
      </c>
      <c r="AO42" s="48">
        <v>-999</v>
      </c>
      <c r="AP42" s="55">
        <f t="shared" si="26"/>
        <v>-999</v>
      </c>
      <c r="AQ42" s="149">
        <f t="shared" si="27"/>
        <v>-999</v>
      </c>
      <c r="AR42" s="48">
        <v>-999</v>
      </c>
      <c r="AS42" s="55">
        <f t="shared" si="28"/>
        <v>-999</v>
      </c>
      <c r="AT42" s="149">
        <f t="shared" si="29"/>
        <v>-999</v>
      </c>
      <c r="AU42" s="48">
        <v>-999</v>
      </c>
      <c r="AV42" s="55">
        <f t="shared" si="30"/>
        <v>-999</v>
      </c>
      <c r="AW42" s="149">
        <f t="shared" si="31"/>
        <v>-999</v>
      </c>
      <c r="AX42" s="48">
        <v>-999</v>
      </c>
      <c r="AY42" s="55">
        <f t="shared" si="32"/>
        <v>-999</v>
      </c>
      <c r="AZ42" s="149">
        <f t="shared" si="33"/>
        <v>-999</v>
      </c>
      <c r="BA42" s="75">
        <v>12.5</v>
      </c>
      <c r="BB42" s="55">
        <f t="shared" si="34"/>
        <v>0.61700860376898836</v>
      </c>
      <c r="BC42" s="55">
        <f t="shared" si="35"/>
        <v>359.125</v>
      </c>
      <c r="BD42" s="55">
        <v>-999</v>
      </c>
      <c r="BE42" s="48">
        <v>-999</v>
      </c>
      <c r="BF42" s="48">
        <v>-999</v>
      </c>
      <c r="BG42" s="48">
        <v>-999</v>
      </c>
      <c r="BH42" s="48">
        <v>-999</v>
      </c>
      <c r="BI42" s="75">
        <v>-999</v>
      </c>
      <c r="BJ42" s="81">
        <f t="shared" si="36"/>
        <v>-999</v>
      </c>
      <c r="BK42" s="55">
        <f t="shared" si="37"/>
        <v>-999</v>
      </c>
      <c r="BL42" s="136">
        <v>-999</v>
      </c>
      <c r="BM42" s="48">
        <v>-999</v>
      </c>
      <c r="BN42" s="48">
        <v>-999</v>
      </c>
      <c r="BO42" s="48">
        <v>-999</v>
      </c>
      <c r="BP42" s="48">
        <v>-999</v>
      </c>
      <c r="BQ42" s="75">
        <v>-999</v>
      </c>
      <c r="BR42" s="81">
        <f t="shared" si="38"/>
        <v>-999</v>
      </c>
      <c r="BS42" s="55">
        <f t="shared" si="39"/>
        <v>-999</v>
      </c>
      <c r="BT42" s="73">
        <v>-999</v>
      </c>
      <c r="BU42" s="29">
        <v>-999</v>
      </c>
      <c r="BV42" s="55">
        <f t="shared" si="40"/>
        <v>-999</v>
      </c>
      <c r="BW42" s="29">
        <v>-999</v>
      </c>
      <c r="BX42" s="55">
        <f t="shared" si="41"/>
        <v>-999</v>
      </c>
      <c r="BY42" s="29">
        <v>-999</v>
      </c>
      <c r="BZ42" s="55">
        <f t="shared" si="42"/>
        <v>-999</v>
      </c>
      <c r="CA42" s="29">
        <v>-999</v>
      </c>
      <c r="CB42" s="55">
        <f t="shared" si="43"/>
        <v>-999</v>
      </c>
      <c r="CC42" s="29">
        <v>-999</v>
      </c>
      <c r="CD42" s="55">
        <f t="shared" si="44"/>
        <v>-999</v>
      </c>
      <c r="CE42" s="55">
        <v>-999</v>
      </c>
      <c r="CF42" s="155" t="s">
        <v>555</v>
      </c>
      <c r="CG42" s="25" t="b">
        <v>1</v>
      </c>
      <c r="CH42" s="7" t="b">
        <v>0</v>
      </c>
    </row>
    <row r="43" spans="1:86" ht="21" customHeight="1">
      <c r="A43" s="32" t="s">
        <v>672</v>
      </c>
      <c r="B43" s="23" t="s">
        <v>427</v>
      </c>
      <c r="C43" s="7" t="s">
        <v>44</v>
      </c>
      <c r="D43" s="8" t="s">
        <v>37</v>
      </c>
      <c r="E43" s="10" t="s">
        <v>34</v>
      </c>
      <c r="F43">
        <v>5</v>
      </c>
      <c r="G43" s="7">
        <v>5105</v>
      </c>
      <c r="H43" s="7" t="s">
        <v>45</v>
      </c>
      <c r="I43" s="7" t="s">
        <v>403</v>
      </c>
      <c r="J43" t="s">
        <v>526</v>
      </c>
      <c r="K43" t="s">
        <v>527</v>
      </c>
      <c r="L43" s="44">
        <v>55.024485798237023</v>
      </c>
      <c r="M43" s="9">
        <v>52</v>
      </c>
      <c r="N43" s="9">
        <v>-999</v>
      </c>
      <c r="O43" s="9">
        <v>-999</v>
      </c>
      <c r="P43" s="9">
        <v>-999</v>
      </c>
      <c r="Q43" s="9">
        <v>-999</v>
      </c>
      <c r="R43" s="9">
        <v>-999</v>
      </c>
      <c r="S43" s="100">
        <v>6.6000000000000005</v>
      </c>
      <c r="T43" s="101" t="s">
        <v>46</v>
      </c>
      <c r="U43" s="102">
        <v>40.5</v>
      </c>
      <c r="V43" s="101" t="s">
        <v>47</v>
      </c>
      <c r="W43" s="102">
        <v>15.299999999999999</v>
      </c>
      <c r="X43" s="101" t="s">
        <v>39</v>
      </c>
      <c r="Y43" s="102">
        <v>-999</v>
      </c>
      <c r="Z43" s="101">
        <v>-999</v>
      </c>
      <c r="AA43" s="102">
        <v>26</v>
      </c>
      <c r="AB43" s="101">
        <v>-999</v>
      </c>
      <c r="AC43" s="64">
        <v>20</v>
      </c>
      <c r="AD43" s="131">
        <f>AC43/28</f>
        <v>0.7142857142857143</v>
      </c>
      <c r="AE43" s="144">
        <f t="shared" si="23"/>
        <v>0</v>
      </c>
      <c r="AF43" s="146">
        <f t="shared" si="24"/>
        <v>0.47142857142857147</v>
      </c>
      <c r="AG43" s="9" t="b">
        <v>0</v>
      </c>
      <c r="AH43" s="9" t="b">
        <v>0</v>
      </c>
      <c r="AI43" s="9" t="b">
        <v>0</v>
      </c>
      <c r="AJ43" s="9" t="b">
        <v>0</v>
      </c>
      <c r="AK43" s="71" t="s">
        <v>190</v>
      </c>
      <c r="AL43" s="45">
        <v>11.6</v>
      </c>
      <c r="AM43" s="44">
        <f t="shared" si="25"/>
        <v>0.44818493454530473</v>
      </c>
      <c r="AN43" s="149">
        <f t="shared" si="45"/>
        <v>592.17999999999995</v>
      </c>
      <c r="AO43" s="45">
        <v>3.2</v>
      </c>
      <c r="AP43" s="44">
        <f t="shared" si="26"/>
        <v>0.24632857506834399</v>
      </c>
      <c r="AQ43" s="149">
        <f t="shared" si="27"/>
        <v>163.36000000000001</v>
      </c>
      <c r="AR43" s="45">
        <v>0.3</v>
      </c>
      <c r="AS43" s="44">
        <f t="shared" si="28"/>
        <v>7.6543855417366788E-2</v>
      </c>
      <c r="AT43" s="149">
        <f t="shared" si="29"/>
        <v>15.315</v>
      </c>
      <c r="AU43" s="45">
        <v>0</v>
      </c>
      <c r="AV43" s="44">
        <f t="shared" si="30"/>
        <v>0</v>
      </c>
      <c r="AW43" s="149">
        <f t="shared" si="31"/>
        <v>0</v>
      </c>
      <c r="AX43" s="45">
        <v>0</v>
      </c>
      <c r="AY43" s="44">
        <f t="shared" si="32"/>
        <v>0</v>
      </c>
      <c r="AZ43" s="149">
        <f t="shared" si="33"/>
        <v>0</v>
      </c>
      <c r="BA43" s="76">
        <v>15.2</v>
      </c>
      <c r="BB43" s="44">
        <f t="shared" si="34"/>
        <v>0.50248354795429906</v>
      </c>
      <c r="BC43" s="55">
        <f t="shared" si="35"/>
        <v>775.96</v>
      </c>
      <c r="BD43" s="44">
        <v>-999</v>
      </c>
      <c r="BE43" s="45">
        <v>-999</v>
      </c>
      <c r="BF43" s="45">
        <v>-999</v>
      </c>
      <c r="BG43" s="45">
        <v>-999</v>
      </c>
      <c r="BH43" s="45">
        <v>-999</v>
      </c>
      <c r="BI43" s="76">
        <v>13.3</v>
      </c>
      <c r="BJ43" s="81">
        <f t="shared" si="36"/>
        <v>678.96500000000003</v>
      </c>
      <c r="BK43" s="44">
        <f t="shared" si="37"/>
        <v>0.47526682026072931</v>
      </c>
      <c r="BL43" s="137">
        <v>-999</v>
      </c>
      <c r="BM43" s="45">
        <v>-999</v>
      </c>
      <c r="BN43" s="45">
        <v>-999</v>
      </c>
      <c r="BO43" s="45">
        <v>-999</v>
      </c>
      <c r="BP43" s="45">
        <v>-999</v>
      </c>
      <c r="BQ43" s="76">
        <v>16.899999999999999</v>
      </c>
      <c r="BR43" s="81">
        <f t="shared" si="38"/>
        <v>862.74499999999989</v>
      </c>
      <c r="BS43" s="44">
        <f t="shared" si="39"/>
        <v>0.52450060199082371</v>
      </c>
      <c r="BT43" s="71">
        <v>-999</v>
      </c>
      <c r="BU43" s="48">
        <v>-999</v>
      </c>
      <c r="BV43" s="44">
        <f t="shared" si="40"/>
        <v>-999</v>
      </c>
      <c r="BW43" s="48">
        <v>-999</v>
      </c>
      <c r="BX43" s="44">
        <f t="shared" si="41"/>
        <v>-999</v>
      </c>
      <c r="BY43" s="48">
        <v>-999</v>
      </c>
      <c r="BZ43" s="44">
        <f t="shared" si="42"/>
        <v>-999</v>
      </c>
      <c r="CA43" s="48">
        <v>-999</v>
      </c>
      <c r="CB43" s="44">
        <f t="shared" si="43"/>
        <v>-999</v>
      </c>
      <c r="CC43" s="48">
        <v>-999</v>
      </c>
      <c r="CD43" s="44">
        <f t="shared" si="44"/>
        <v>-999</v>
      </c>
      <c r="CE43" s="55">
        <v>-999</v>
      </c>
      <c r="CF43" s="129" t="s">
        <v>556</v>
      </c>
      <c r="CG43" s="23" t="b">
        <v>1</v>
      </c>
      <c r="CH43" s="7" t="b">
        <v>1</v>
      </c>
    </row>
    <row r="44" spans="1:86" ht="21" customHeight="1">
      <c r="A44" s="32" t="s">
        <v>621</v>
      </c>
      <c r="B44" s="23" t="s">
        <v>483</v>
      </c>
      <c r="C44" s="38" t="s">
        <v>269</v>
      </c>
      <c r="D44" s="39" t="s">
        <v>271</v>
      </c>
      <c r="E44" s="38" t="s">
        <v>270</v>
      </c>
      <c r="F44">
        <v>9</v>
      </c>
      <c r="G44" s="38">
        <v>223288</v>
      </c>
      <c r="H44" s="38" t="s">
        <v>29</v>
      </c>
      <c r="I44" s="38" t="s">
        <v>233</v>
      </c>
      <c r="J44" t="s">
        <v>531</v>
      </c>
      <c r="K44"/>
      <c r="L44" s="43">
        <v>54</v>
      </c>
      <c r="M44" s="40">
        <v>-999</v>
      </c>
      <c r="N44" s="40">
        <v>-999</v>
      </c>
      <c r="O44" s="40">
        <v>-999</v>
      </c>
      <c r="P44" s="40">
        <v>-999</v>
      </c>
      <c r="Q44" s="40">
        <v>-999</v>
      </c>
      <c r="R44" s="40">
        <v>-999</v>
      </c>
      <c r="S44" s="96">
        <v>-999</v>
      </c>
      <c r="T44" s="112">
        <v>-999</v>
      </c>
      <c r="U44" s="98">
        <v>-999</v>
      </c>
      <c r="V44" s="112">
        <v>-999</v>
      </c>
      <c r="W44" s="98">
        <v>-999</v>
      </c>
      <c r="X44" s="112" t="s">
        <v>272</v>
      </c>
      <c r="Y44" s="98">
        <v>-999</v>
      </c>
      <c r="Z44" s="112">
        <v>-999</v>
      </c>
      <c r="AA44" s="98">
        <v>-999</v>
      </c>
      <c r="AB44" s="112">
        <v>-999</v>
      </c>
      <c r="AC44" s="63">
        <v>23</v>
      </c>
      <c r="AD44" s="132">
        <v>0.8214285714285714</v>
      </c>
      <c r="AE44" s="144">
        <f t="shared" si="23"/>
        <v>1</v>
      </c>
      <c r="AF44" s="146">
        <f t="shared" si="24"/>
        <v>0.88214285714285712</v>
      </c>
      <c r="AG44" s="29" t="b">
        <v>1</v>
      </c>
      <c r="AH44" s="29" t="b">
        <v>1</v>
      </c>
      <c r="AI44" s="29" t="b">
        <v>1</v>
      </c>
      <c r="AJ44" s="29" t="b">
        <v>1</v>
      </c>
      <c r="AK44" s="73" t="s">
        <v>190</v>
      </c>
      <c r="AL44" s="48">
        <v>-999</v>
      </c>
      <c r="AM44" s="55">
        <f t="shared" si="25"/>
        <v>-999</v>
      </c>
      <c r="AN44" s="149">
        <f t="shared" si="45"/>
        <v>-999</v>
      </c>
      <c r="AO44" s="48">
        <v>-999</v>
      </c>
      <c r="AP44" s="55">
        <f t="shared" si="26"/>
        <v>-999</v>
      </c>
      <c r="AQ44" s="149">
        <f t="shared" si="27"/>
        <v>-999</v>
      </c>
      <c r="AR44" s="48">
        <v>-999</v>
      </c>
      <c r="AS44" s="55">
        <f t="shared" si="28"/>
        <v>-999</v>
      </c>
      <c r="AT44" s="149">
        <f t="shared" si="29"/>
        <v>-999</v>
      </c>
      <c r="AU44" s="48">
        <v>-999</v>
      </c>
      <c r="AV44" s="55">
        <f t="shared" si="30"/>
        <v>-999</v>
      </c>
      <c r="AW44" s="149">
        <f t="shared" si="31"/>
        <v>-999</v>
      </c>
      <c r="AX44" s="48">
        <v>-999</v>
      </c>
      <c r="AY44" s="55">
        <f t="shared" si="32"/>
        <v>-999</v>
      </c>
      <c r="AZ44" s="149">
        <f t="shared" si="33"/>
        <v>-999</v>
      </c>
      <c r="BA44" s="75">
        <f>(10.1+13.1)/2</f>
        <v>11.6</v>
      </c>
      <c r="BB44" s="55">
        <f t="shared" si="34"/>
        <v>6.776765148503322E-2</v>
      </c>
      <c r="BC44" s="55">
        <f t="shared" si="35"/>
        <v>25901.407999999999</v>
      </c>
      <c r="BD44" s="55">
        <v>-999</v>
      </c>
      <c r="BE44" s="48">
        <v>-999</v>
      </c>
      <c r="BF44" s="48">
        <v>-999</v>
      </c>
      <c r="BG44" s="48">
        <v>-999</v>
      </c>
      <c r="BH44" s="48">
        <v>-999</v>
      </c>
      <c r="BI44" s="75">
        <v>10.1</v>
      </c>
      <c r="BJ44" s="81">
        <f t="shared" si="36"/>
        <v>22552.088</v>
      </c>
      <c r="BK44" s="55">
        <f t="shared" si="37"/>
        <v>6.3768740733953402E-2</v>
      </c>
      <c r="BL44" s="136">
        <v>-999</v>
      </c>
      <c r="BM44" s="48">
        <v>-999</v>
      </c>
      <c r="BN44" s="48">
        <v>-999</v>
      </c>
      <c r="BO44" s="48">
        <v>-999</v>
      </c>
      <c r="BP44" s="48">
        <v>-999</v>
      </c>
      <c r="BQ44" s="75">
        <v>13.1</v>
      </c>
      <c r="BR44" s="81">
        <f t="shared" si="38"/>
        <v>29250.728000000003</v>
      </c>
      <c r="BS44" s="55">
        <f t="shared" si="39"/>
        <v>7.1402405675440608E-2</v>
      </c>
      <c r="BT44" s="73">
        <v>-999</v>
      </c>
      <c r="BU44" s="29">
        <v>-999</v>
      </c>
      <c r="BV44" s="55">
        <f t="shared" si="40"/>
        <v>-999</v>
      </c>
      <c r="BW44" s="29">
        <v>-999</v>
      </c>
      <c r="BX44" s="55">
        <f t="shared" si="41"/>
        <v>-999</v>
      </c>
      <c r="BY44" s="29">
        <v>-999</v>
      </c>
      <c r="BZ44" s="55">
        <f t="shared" si="42"/>
        <v>-999</v>
      </c>
      <c r="CA44" s="29">
        <v>-999</v>
      </c>
      <c r="CB44" s="55">
        <f t="shared" si="43"/>
        <v>-999</v>
      </c>
      <c r="CC44" s="29">
        <v>-999</v>
      </c>
      <c r="CD44" s="55">
        <f t="shared" si="44"/>
        <v>-999</v>
      </c>
      <c r="CE44" s="55">
        <v>-999</v>
      </c>
      <c r="CF44" s="155" t="s">
        <v>555</v>
      </c>
      <c r="CG44" s="23" t="b">
        <v>1</v>
      </c>
      <c r="CH44" s="23" t="b">
        <v>0</v>
      </c>
    </row>
    <row r="45" spans="1:86" ht="21" customHeight="1">
      <c r="A45" s="32" t="s">
        <v>622</v>
      </c>
      <c r="B45" s="23" t="s">
        <v>484</v>
      </c>
      <c r="C45" s="38" t="s">
        <v>561</v>
      </c>
      <c r="D45" s="39">
        <v>2002</v>
      </c>
      <c r="E45" s="38" t="s">
        <v>273</v>
      </c>
      <c r="F45">
        <v>4</v>
      </c>
      <c r="G45" s="38">
        <v>7049</v>
      </c>
      <c r="H45" s="38" t="s">
        <v>29</v>
      </c>
      <c r="I45" s="38" t="s">
        <v>274</v>
      </c>
      <c r="J45" t="s">
        <v>527</v>
      </c>
      <c r="K45"/>
      <c r="L45" s="43">
        <v>-999</v>
      </c>
      <c r="M45" s="40">
        <v>47.6</v>
      </c>
      <c r="N45" s="40">
        <v>-999</v>
      </c>
      <c r="O45" s="40">
        <v>26.9</v>
      </c>
      <c r="P45" s="40">
        <v>131.80000000000001</v>
      </c>
      <c r="Q45" s="40">
        <v>78.599999999999994</v>
      </c>
      <c r="R45" s="40">
        <v>72.2</v>
      </c>
      <c r="S45" s="119">
        <v>4.5999999999999996</v>
      </c>
      <c r="T45" s="112" t="s">
        <v>276</v>
      </c>
      <c r="U45" s="98">
        <v>39.4</v>
      </c>
      <c r="V45" s="112" t="s">
        <v>261</v>
      </c>
      <c r="W45" s="98"/>
      <c r="X45" s="112">
        <v>-999</v>
      </c>
      <c r="Y45" s="98">
        <v>-999</v>
      </c>
      <c r="Z45" s="112" t="s">
        <v>64</v>
      </c>
      <c r="AA45" s="98">
        <v>27.6</v>
      </c>
      <c r="AB45" s="112" t="s">
        <v>275</v>
      </c>
      <c r="AC45" s="63">
        <v>20</v>
      </c>
      <c r="AD45" s="132">
        <v>0.7142857142857143</v>
      </c>
      <c r="AE45" s="144">
        <f t="shared" si="23"/>
        <v>0.25</v>
      </c>
      <c r="AF45" s="146">
        <f t="shared" si="24"/>
        <v>0.55642857142857149</v>
      </c>
      <c r="AG45" s="29" t="b">
        <v>0</v>
      </c>
      <c r="AH45" s="29" t="b">
        <v>0</v>
      </c>
      <c r="AI45" s="29" t="b">
        <v>1</v>
      </c>
      <c r="AJ45" s="29" t="b">
        <v>0</v>
      </c>
      <c r="AK45" s="73" t="s">
        <v>192</v>
      </c>
      <c r="AL45" s="48">
        <v>-999</v>
      </c>
      <c r="AM45" s="55">
        <f t="shared" si="25"/>
        <v>-999</v>
      </c>
      <c r="AN45" s="149">
        <f t="shared" si="45"/>
        <v>-999</v>
      </c>
      <c r="AO45" s="48">
        <v>-999</v>
      </c>
      <c r="AP45" s="55">
        <f t="shared" si="26"/>
        <v>-999</v>
      </c>
      <c r="AQ45" s="149">
        <f t="shared" si="27"/>
        <v>-999</v>
      </c>
      <c r="AR45" s="48">
        <v>1.5</v>
      </c>
      <c r="AS45" s="55">
        <f t="shared" si="28"/>
        <v>0.14477713879518003</v>
      </c>
      <c r="AT45" s="149">
        <f t="shared" si="29"/>
        <v>105.735</v>
      </c>
      <c r="AU45" s="48">
        <v>0.1</v>
      </c>
      <c r="AV45" s="55">
        <f t="shared" si="30"/>
        <v>3.7646013082869856E-2</v>
      </c>
      <c r="AW45" s="149">
        <f t="shared" si="31"/>
        <v>7.0490000000000004</v>
      </c>
      <c r="AX45" s="48">
        <v>0</v>
      </c>
      <c r="AY45" s="55">
        <f t="shared" si="32"/>
        <v>0</v>
      </c>
      <c r="AZ45" s="149">
        <f t="shared" si="33"/>
        <v>0</v>
      </c>
      <c r="BA45" s="85">
        <v>1.6</v>
      </c>
      <c r="BB45" s="55">
        <f t="shared" si="34"/>
        <v>0.14944926560707855</v>
      </c>
      <c r="BC45" s="55">
        <f t="shared" si="35"/>
        <v>112.78400000000001</v>
      </c>
      <c r="BD45" s="55">
        <v>-999</v>
      </c>
      <c r="BE45" s="48">
        <v>-999</v>
      </c>
      <c r="BF45" s="48">
        <v>1.2</v>
      </c>
      <c r="BG45" s="48">
        <v>0.2</v>
      </c>
      <c r="BH45" s="48">
        <v>-999</v>
      </c>
      <c r="BI45" s="85">
        <v>1.4</v>
      </c>
      <c r="BJ45" s="81">
        <f t="shared" si="36"/>
        <v>98.685999999999993</v>
      </c>
      <c r="BK45" s="55">
        <f t="shared" si="37"/>
        <v>0.13993898514373537</v>
      </c>
      <c r="BL45" s="136">
        <v>-999</v>
      </c>
      <c r="BM45" s="48">
        <v>-999</v>
      </c>
      <c r="BN45" s="48">
        <v>1.8</v>
      </c>
      <c r="BO45" s="48">
        <v>0</v>
      </c>
      <c r="BP45" s="48">
        <v>-999</v>
      </c>
      <c r="BQ45" s="85">
        <v>1.8</v>
      </c>
      <c r="BR45" s="81">
        <f t="shared" si="38"/>
        <v>126.88200000000002</v>
      </c>
      <c r="BS45" s="55">
        <f t="shared" si="39"/>
        <v>0.15835370943048921</v>
      </c>
      <c r="BT45" s="73">
        <v>-999</v>
      </c>
      <c r="BU45" s="29">
        <v>-999</v>
      </c>
      <c r="BV45" s="55">
        <f t="shared" si="40"/>
        <v>-999</v>
      </c>
      <c r="BW45" s="29">
        <v>-999</v>
      </c>
      <c r="BX45" s="55">
        <f t="shared" si="41"/>
        <v>-999</v>
      </c>
      <c r="BY45" s="29">
        <v>-999</v>
      </c>
      <c r="BZ45" s="55">
        <f t="shared" si="42"/>
        <v>-999</v>
      </c>
      <c r="CA45" s="29">
        <v>-999</v>
      </c>
      <c r="CB45" s="55">
        <f t="shared" si="43"/>
        <v>-999</v>
      </c>
      <c r="CC45" s="29">
        <v>-999</v>
      </c>
      <c r="CD45" s="55">
        <f t="shared" si="44"/>
        <v>-999</v>
      </c>
      <c r="CE45" s="55">
        <v>-999</v>
      </c>
      <c r="CF45" s="155" t="s">
        <v>555</v>
      </c>
      <c r="CG45" s="23" t="b">
        <v>1</v>
      </c>
      <c r="CH45" s="10" t="b">
        <v>0</v>
      </c>
    </row>
    <row r="46" spans="1:86" ht="21" customHeight="1">
      <c r="A46" s="32" t="s">
        <v>622</v>
      </c>
      <c r="B46" s="25" t="s">
        <v>485</v>
      </c>
      <c r="C46" s="84" t="s">
        <v>562</v>
      </c>
      <c r="D46" s="83">
        <v>2007</v>
      </c>
      <c r="E46" s="84" t="s">
        <v>273</v>
      </c>
      <c r="F46">
        <v>4</v>
      </c>
      <c r="G46" s="84">
        <v>4228</v>
      </c>
      <c r="H46" s="84" t="s">
        <v>29</v>
      </c>
      <c r="I46" s="84" t="s">
        <v>274</v>
      </c>
      <c r="J46" t="s">
        <v>527</v>
      </c>
      <c r="K46"/>
      <c r="L46" s="56">
        <v>-999</v>
      </c>
      <c r="M46" s="29">
        <v>49.7</v>
      </c>
      <c r="N46" s="29">
        <v>-999</v>
      </c>
      <c r="O46" s="29">
        <v>27.1</v>
      </c>
      <c r="P46" s="29">
        <v>132</v>
      </c>
      <c r="Q46" s="29">
        <v>79.099999999999994</v>
      </c>
      <c r="R46" s="29">
        <v>77.5</v>
      </c>
      <c r="S46" s="119">
        <v>8.4</v>
      </c>
      <c r="T46" s="120" t="s">
        <v>277</v>
      </c>
      <c r="U46" s="119">
        <v>42.6</v>
      </c>
      <c r="V46" s="120" t="s">
        <v>261</v>
      </c>
      <c r="W46" s="119"/>
      <c r="X46" s="120">
        <v>-999</v>
      </c>
      <c r="Y46" s="119">
        <v>-999</v>
      </c>
      <c r="Z46" s="120" t="s">
        <v>64</v>
      </c>
      <c r="AA46" s="119">
        <v>20.6</v>
      </c>
      <c r="AB46" s="120" t="s">
        <v>275</v>
      </c>
      <c r="AC46" s="63">
        <v>20</v>
      </c>
      <c r="AD46" s="132">
        <v>0.7142857142857143</v>
      </c>
      <c r="AE46" s="144">
        <f t="shared" si="23"/>
        <v>0.25</v>
      </c>
      <c r="AF46" s="146">
        <f t="shared" si="24"/>
        <v>0.55642857142857149</v>
      </c>
      <c r="AG46" s="29" t="b">
        <v>0</v>
      </c>
      <c r="AH46" s="29" t="b">
        <v>0</v>
      </c>
      <c r="AI46" s="29" t="b">
        <v>1</v>
      </c>
      <c r="AJ46" s="29" t="b">
        <v>0</v>
      </c>
      <c r="AK46" s="73" t="s">
        <v>192</v>
      </c>
      <c r="AL46" s="55">
        <v>-999</v>
      </c>
      <c r="AM46" s="55">
        <f t="shared" si="25"/>
        <v>-999</v>
      </c>
      <c r="AN46" s="149">
        <f t="shared" si="45"/>
        <v>-999</v>
      </c>
      <c r="AO46" s="55">
        <v>-999</v>
      </c>
      <c r="AP46" s="55">
        <f t="shared" si="26"/>
        <v>-999</v>
      </c>
      <c r="AQ46" s="149">
        <f t="shared" si="27"/>
        <v>-999</v>
      </c>
      <c r="AR46" s="55">
        <v>2.4</v>
      </c>
      <c r="AS46" s="55">
        <f t="shared" si="28"/>
        <v>0.2353764673078986</v>
      </c>
      <c r="AT46" s="149">
        <f t="shared" si="29"/>
        <v>101.47200000000001</v>
      </c>
      <c r="AU46" s="55">
        <v>0.2</v>
      </c>
      <c r="AV46" s="55">
        <f t="shared" si="30"/>
        <v>6.8708865736831992E-2</v>
      </c>
      <c r="AW46" s="149">
        <f t="shared" si="31"/>
        <v>8.4559999999999995</v>
      </c>
      <c r="AX46" s="55">
        <v>0</v>
      </c>
      <c r="AY46" s="55">
        <f t="shared" si="32"/>
        <v>0</v>
      </c>
      <c r="AZ46" s="149">
        <f t="shared" si="33"/>
        <v>0</v>
      </c>
      <c r="BA46" s="85">
        <v>2.6</v>
      </c>
      <c r="BB46" s="55">
        <f t="shared" si="34"/>
        <v>0.2447364539309313</v>
      </c>
      <c r="BC46" s="55">
        <f t="shared" si="35"/>
        <v>109.92800000000001</v>
      </c>
      <c r="BD46" s="55">
        <v>-999</v>
      </c>
      <c r="BE46" s="55">
        <v>-999</v>
      </c>
      <c r="BF46" s="55">
        <v>1.6</v>
      </c>
      <c r="BG46" s="55">
        <v>0.3</v>
      </c>
      <c r="BH46" s="55">
        <v>-999</v>
      </c>
      <c r="BI46" s="85">
        <v>1.9</v>
      </c>
      <c r="BJ46" s="81">
        <f t="shared" si="36"/>
        <v>80.331999999999994</v>
      </c>
      <c r="BK46" s="55">
        <f t="shared" si="37"/>
        <v>0.20996350541115746</v>
      </c>
      <c r="BL46" s="136">
        <v>-999</v>
      </c>
      <c r="BM46" s="55">
        <v>-999</v>
      </c>
      <c r="BN46" s="55">
        <v>3</v>
      </c>
      <c r="BO46" s="55">
        <v>0.1</v>
      </c>
      <c r="BP46" s="55">
        <v>-999</v>
      </c>
      <c r="BQ46" s="85">
        <v>3.1</v>
      </c>
      <c r="BR46" s="81">
        <f t="shared" si="38"/>
        <v>131.06800000000001</v>
      </c>
      <c r="BS46" s="55">
        <f t="shared" si="39"/>
        <v>0.26654788824259085</v>
      </c>
      <c r="BT46" s="73">
        <v>-999</v>
      </c>
      <c r="BU46" s="29">
        <v>-999</v>
      </c>
      <c r="BV46" s="55">
        <f t="shared" si="40"/>
        <v>-999</v>
      </c>
      <c r="BW46" s="29">
        <v>-999</v>
      </c>
      <c r="BX46" s="55">
        <f t="shared" si="41"/>
        <v>-999</v>
      </c>
      <c r="BY46" s="29">
        <v>-999</v>
      </c>
      <c r="BZ46" s="55">
        <f t="shared" si="42"/>
        <v>-999</v>
      </c>
      <c r="CA46" s="29">
        <v>-999</v>
      </c>
      <c r="CB46" s="55">
        <f t="shared" si="43"/>
        <v>-999</v>
      </c>
      <c r="CC46" s="29">
        <v>-999</v>
      </c>
      <c r="CD46" s="55">
        <f t="shared" si="44"/>
        <v>-999</v>
      </c>
      <c r="CE46" s="55">
        <v>-999</v>
      </c>
      <c r="CF46" s="155" t="s">
        <v>555</v>
      </c>
      <c r="CG46" s="25" t="b">
        <v>1</v>
      </c>
      <c r="CH46" s="10" t="b">
        <v>0</v>
      </c>
    </row>
    <row r="47" spans="1:86" ht="21" customHeight="1">
      <c r="A47" s="32" t="s">
        <v>623</v>
      </c>
      <c r="B47" s="23" t="s">
        <v>430</v>
      </c>
      <c r="C47" s="7" t="s">
        <v>573</v>
      </c>
      <c r="D47" s="8" t="s">
        <v>27</v>
      </c>
      <c r="E47" s="7" t="s">
        <v>106</v>
      </c>
      <c r="F47">
        <v>6</v>
      </c>
      <c r="G47" s="7">
        <v>5066</v>
      </c>
      <c r="H47" s="7" t="s">
        <v>29</v>
      </c>
      <c r="I47" s="7" t="s">
        <v>387</v>
      </c>
      <c r="J47" t="s">
        <v>522</v>
      </c>
      <c r="K47"/>
      <c r="L47" s="44">
        <v>56.8</v>
      </c>
      <c r="M47" s="9">
        <v>43.6</v>
      </c>
      <c r="N47" s="9">
        <v>-999</v>
      </c>
      <c r="O47" s="9">
        <v>23.6</v>
      </c>
      <c r="P47" s="9">
        <v>117.4</v>
      </c>
      <c r="Q47" s="9">
        <v>76.7</v>
      </c>
      <c r="R47" s="9">
        <v>86.6</v>
      </c>
      <c r="S47" s="100">
        <v>6.4</v>
      </c>
      <c r="T47" s="101" t="s">
        <v>86</v>
      </c>
      <c r="U47" s="102">
        <v>22.2</v>
      </c>
      <c r="V47" s="101" t="s">
        <v>24</v>
      </c>
      <c r="W47" s="102">
        <v>2</v>
      </c>
      <c r="X47" s="101" t="s">
        <v>65</v>
      </c>
      <c r="Y47" s="102">
        <v>31</v>
      </c>
      <c r="Z47" s="101" t="s">
        <v>69</v>
      </c>
      <c r="AA47" s="102">
        <v>23.2</v>
      </c>
      <c r="AB47" s="101" t="s">
        <v>25</v>
      </c>
      <c r="AC47" s="64">
        <v>20</v>
      </c>
      <c r="AD47" s="131">
        <f>AC47/28</f>
        <v>0.7142857142857143</v>
      </c>
      <c r="AE47" s="144">
        <f t="shared" si="23"/>
        <v>0</v>
      </c>
      <c r="AF47" s="146">
        <f t="shared" si="24"/>
        <v>0.47142857142857147</v>
      </c>
      <c r="AG47" s="9" t="b">
        <v>0</v>
      </c>
      <c r="AH47" s="9" t="b">
        <v>0</v>
      </c>
      <c r="AI47" s="9" t="b">
        <v>0</v>
      </c>
      <c r="AJ47" s="9" t="b">
        <v>0</v>
      </c>
      <c r="AK47" s="71" t="s">
        <v>190</v>
      </c>
      <c r="AL47" s="45">
        <v>-999</v>
      </c>
      <c r="AM47" s="44">
        <f t="shared" si="25"/>
        <v>-999</v>
      </c>
      <c r="AN47" s="149">
        <f t="shared" si="45"/>
        <v>-999</v>
      </c>
      <c r="AO47" s="45">
        <v>-999</v>
      </c>
      <c r="AP47" s="44">
        <f t="shared" si="26"/>
        <v>-999</v>
      </c>
      <c r="AQ47" s="149">
        <f t="shared" si="27"/>
        <v>-999</v>
      </c>
      <c r="AR47" s="45">
        <v>-999</v>
      </c>
      <c r="AS47" s="44">
        <f t="shared" si="28"/>
        <v>-999</v>
      </c>
      <c r="AT47" s="149">
        <f t="shared" si="29"/>
        <v>-999</v>
      </c>
      <c r="AU47" s="45">
        <v>-999</v>
      </c>
      <c r="AV47" s="44">
        <f t="shared" si="30"/>
        <v>-999</v>
      </c>
      <c r="AW47" s="149">
        <f t="shared" si="31"/>
        <v>-999</v>
      </c>
      <c r="AX47" s="45">
        <v>-999</v>
      </c>
      <c r="AY47" s="44">
        <f t="shared" si="32"/>
        <v>-999</v>
      </c>
      <c r="AZ47" s="149">
        <f t="shared" si="33"/>
        <v>-999</v>
      </c>
      <c r="BA47" s="76">
        <v>9.1999999999999993</v>
      </c>
      <c r="BB47" s="44">
        <f t="shared" si="34"/>
        <v>0.40607312268996626</v>
      </c>
      <c r="BC47" s="55">
        <f t="shared" si="35"/>
        <v>466.072</v>
      </c>
      <c r="BD47" s="44">
        <v>-999</v>
      </c>
      <c r="BE47" s="45">
        <v>-999</v>
      </c>
      <c r="BF47" s="45">
        <v>-999</v>
      </c>
      <c r="BG47" s="45">
        <v>-999</v>
      </c>
      <c r="BH47" s="45">
        <v>-999</v>
      </c>
      <c r="BI47" s="76">
        <v>7.9</v>
      </c>
      <c r="BJ47" s="81">
        <f t="shared" si="36"/>
        <v>400.214</v>
      </c>
      <c r="BK47" s="44">
        <f t="shared" si="37"/>
        <v>0.37897518009743797</v>
      </c>
      <c r="BL47" s="137">
        <v>-999</v>
      </c>
      <c r="BM47" s="45">
        <v>-999</v>
      </c>
      <c r="BN47" s="45">
        <v>-999</v>
      </c>
      <c r="BO47" s="45">
        <v>-999</v>
      </c>
      <c r="BP47" s="45">
        <v>-999</v>
      </c>
      <c r="BQ47" s="76">
        <v>11.3</v>
      </c>
      <c r="BR47" s="81">
        <f t="shared" si="38"/>
        <v>572.45799999999997</v>
      </c>
      <c r="BS47" s="44">
        <f t="shared" si="39"/>
        <v>0.44480374891557356</v>
      </c>
      <c r="BT47" s="71">
        <v>-999</v>
      </c>
      <c r="BU47" s="48">
        <v>-999</v>
      </c>
      <c r="BV47" s="44">
        <f t="shared" si="40"/>
        <v>-999</v>
      </c>
      <c r="BW47" s="48">
        <v>-999</v>
      </c>
      <c r="BX47" s="44">
        <f t="shared" si="41"/>
        <v>-999</v>
      </c>
      <c r="BY47" s="48">
        <v>-999</v>
      </c>
      <c r="BZ47" s="44">
        <f t="shared" si="42"/>
        <v>-999</v>
      </c>
      <c r="CA47" s="48">
        <v>-999</v>
      </c>
      <c r="CB47" s="44">
        <f t="shared" si="43"/>
        <v>-999</v>
      </c>
      <c r="CC47" s="48">
        <v>-999</v>
      </c>
      <c r="CD47" s="44">
        <f t="shared" si="44"/>
        <v>-999</v>
      </c>
      <c r="CE47" s="55">
        <v>-999</v>
      </c>
      <c r="CF47" s="129" t="s">
        <v>556</v>
      </c>
      <c r="CG47" s="25" t="b">
        <v>1</v>
      </c>
      <c r="CH47" s="7" t="b">
        <v>1</v>
      </c>
    </row>
    <row r="48" spans="1:86" ht="21" customHeight="1">
      <c r="A48" s="32" t="s">
        <v>623</v>
      </c>
      <c r="B48" s="23" t="s">
        <v>429</v>
      </c>
      <c r="C48" s="7" t="s">
        <v>572</v>
      </c>
      <c r="D48" s="8" t="s">
        <v>27</v>
      </c>
      <c r="E48" s="7" t="s">
        <v>106</v>
      </c>
      <c r="F48">
        <v>6</v>
      </c>
      <c r="G48" s="7">
        <v>5314</v>
      </c>
      <c r="H48" s="7" t="s">
        <v>29</v>
      </c>
      <c r="I48" s="7" t="s">
        <v>387</v>
      </c>
      <c r="J48" t="s">
        <v>522</v>
      </c>
      <c r="K48"/>
      <c r="L48" s="44">
        <v>57.6</v>
      </c>
      <c r="M48" s="9">
        <v>45.8</v>
      </c>
      <c r="N48" s="9">
        <v>-999</v>
      </c>
      <c r="O48" s="9">
        <v>23.5</v>
      </c>
      <c r="P48" s="9">
        <v>123.2</v>
      </c>
      <c r="Q48" s="9">
        <v>77.400000000000006</v>
      </c>
      <c r="R48" s="9">
        <v>85.7</v>
      </c>
      <c r="S48" s="100">
        <v>7.3</v>
      </c>
      <c r="T48" s="101" t="s">
        <v>86</v>
      </c>
      <c r="U48" s="102">
        <v>26.3</v>
      </c>
      <c r="V48" s="101" t="s">
        <v>24</v>
      </c>
      <c r="W48" s="102">
        <v>2.6</v>
      </c>
      <c r="X48" s="101" t="s">
        <v>65</v>
      </c>
      <c r="Y48" s="102">
        <v>30.4</v>
      </c>
      <c r="Z48" s="101" t="s">
        <v>69</v>
      </c>
      <c r="AA48" s="102">
        <v>28.5</v>
      </c>
      <c r="AB48" s="101" t="s">
        <v>25</v>
      </c>
      <c r="AC48" s="64">
        <v>20</v>
      </c>
      <c r="AD48" s="131">
        <f>AC48/28</f>
        <v>0.7142857142857143</v>
      </c>
      <c r="AE48" s="144">
        <f t="shared" si="23"/>
        <v>0</v>
      </c>
      <c r="AF48" s="146">
        <f t="shared" si="24"/>
        <v>0.47142857142857147</v>
      </c>
      <c r="AG48" s="9" t="b">
        <v>0</v>
      </c>
      <c r="AH48" s="9" t="b">
        <v>0</v>
      </c>
      <c r="AI48" s="9" t="b">
        <v>0</v>
      </c>
      <c r="AJ48" s="9" t="b">
        <v>0</v>
      </c>
      <c r="AK48" s="71" t="s">
        <v>190</v>
      </c>
      <c r="AL48" s="45">
        <v>-999</v>
      </c>
      <c r="AM48" s="44">
        <f t="shared" si="25"/>
        <v>-999</v>
      </c>
      <c r="AN48" s="149">
        <f t="shared" si="45"/>
        <v>-999</v>
      </c>
      <c r="AO48" s="45">
        <v>-999</v>
      </c>
      <c r="AP48" s="44">
        <f t="shared" si="26"/>
        <v>-999</v>
      </c>
      <c r="AQ48" s="149">
        <f t="shared" si="27"/>
        <v>-999</v>
      </c>
      <c r="AR48" s="45">
        <v>-999</v>
      </c>
      <c r="AS48" s="44">
        <f t="shared" si="28"/>
        <v>-999</v>
      </c>
      <c r="AT48" s="149">
        <f t="shared" si="29"/>
        <v>-999</v>
      </c>
      <c r="AU48" s="45">
        <v>-999</v>
      </c>
      <c r="AV48" s="44">
        <f t="shared" si="30"/>
        <v>-999</v>
      </c>
      <c r="AW48" s="149">
        <f t="shared" si="31"/>
        <v>-999</v>
      </c>
      <c r="AX48" s="45">
        <v>-999</v>
      </c>
      <c r="AY48" s="44">
        <f t="shared" si="32"/>
        <v>-999</v>
      </c>
      <c r="AZ48" s="149">
        <f t="shared" si="33"/>
        <v>-999</v>
      </c>
      <c r="BA48" s="76">
        <v>9.8000000000000007</v>
      </c>
      <c r="BB48" s="44">
        <f t="shared" si="34"/>
        <v>0.40785475655724318</v>
      </c>
      <c r="BC48" s="55">
        <f t="shared" si="35"/>
        <v>520.77200000000005</v>
      </c>
      <c r="BD48" s="44">
        <v>-999</v>
      </c>
      <c r="BE48" s="45">
        <v>-999</v>
      </c>
      <c r="BF48" s="45">
        <v>-999</v>
      </c>
      <c r="BG48" s="45">
        <v>-999</v>
      </c>
      <c r="BH48" s="45">
        <v>-999</v>
      </c>
      <c r="BI48" s="76">
        <v>5.4</v>
      </c>
      <c r="BJ48" s="81">
        <f t="shared" si="36"/>
        <v>286.95600000000002</v>
      </c>
      <c r="BK48" s="44">
        <f t="shared" si="37"/>
        <v>0.31004995530331964</v>
      </c>
      <c r="BL48" s="137">
        <v>-999</v>
      </c>
      <c r="BM48" s="45">
        <v>-999</v>
      </c>
      <c r="BN48" s="45">
        <v>-999</v>
      </c>
      <c r="BO48" s="45">
        <v>-999</v>
      </c>
      <c r="BP48" s="45">
        <v>-999</v>
      </c>
      <c r="BQ48" s="76">
        <v>12</v>
      </c>
      <c r="BR48" s="81">
        <f t="shared" si="38"/>
        <v>637.67999999999995</v>
      </c>
      <c r="BS48" s="44">
        <f t="shared" si="39"/>
        <v>0.44578062015945447</v>
      </c>
      <c r="BT48" s="71">
        <v>-999</v>
      </c>
      <c r="BU48" s="48">
        <v>-999</v>
      </c>
      <c r="BV48" s="44">
        <f t="shared" si="40"/>
        <v>-999</v>
      </c>
      <c r="BW48" s="48">
        <v>-999</v>
      </c>
      <c r="BX48" s="44">
        <f t="shared" si="41"/>
        <v>-999</v>
      </c>
      <c r="BY48" s="48">
        <v>-999</v>
      </c>
      <c r="BZ48" s="44">
        <f t="shared" si="42"/>
        <v>-999</v>
      </c>
      <c r="CA48" s="48">
        <v>-999</v>
      </c>
      <c r="CB48" s="44">
        <f t="shared" si="43"/>
        <v>-999</v>
      </c>
      <c r="CC48" s="48">
        <v>-999</v>
      </c>
      <c r="CD48" s="44">
        <f t="shared" si="44"/>
        <v>-999</v>
      </c>
      <c r="CE48" s="55">
        <v>-999</v>
      </c>
      <c r="CF48" s="129" t="s">
        <v>556</v>
      </c>
      <c r="CG48" s="32" t="b">
        <v>1</v>
      </c>
      <c r="CH48" s="7" t="b">
        <v>1</v>
      </c>
    </row>
    <row r="49" spans="1:86" ht="21" customHeight="1">
      <c r="A49" s="32" t="s">
        <v>623</v>
      </c>
      <c r="B49" s="23" t="s">
        <v>428</v>
      </c>
      <c r="C49" s="7" t="s">
        <v>571</v>
      </c>
      <c r="D49" s="8" t="s">
        <v>27</v>
      </c>
      <c r="E49" s="7" t="s">
        <v>106</v>
      </c>
      <c r="F49">
        <v>6</v>
      </c>
      <c r="G49" s="7">
        <f>6790+9185</f>
        <v>15975</v>
      </c>
      <c r="H49" s="7" t="s">
        <v>29</v>
      </c>
      <c r="I49" s="7" t="s">
        <v>387</v>
      </c>
      <c r="J49" t="s">
        <v>522</v>
      </c>
      <c r="K49"/>
      <c r="L49" s="44">
        <v>56.999999999999993</v>
      </c>
      <c r="M49" s="9">
        <v>44.8</v>
      </c>
      <c r="N49" s="9">
        <v>-999</v>
      </c>
      <c r="O49" s="9">
        <v>23.6</v>
      </c>
      <c r="P49" s="9">
        <v>115.9</v>
      </c>
      <c r="Q49" s="9">
        <v>76.2</v>
      </c>
      <c r="R49" s="9">
        <v>78.7</v>
      </c>
      <c r="S49" s="100">
        <v>7.5</v>
      </c>
      <c r="T49" s="101" t="s">
        <v>86</v>
      </c>
      <c r="U49" s="102">
        <v>24.099999999999998</v>
      </c>
      <c r="V49" s="101" t="s">
        <v>24</v>
      </c>
      <c r="W49" s="102">
        <v>2.2000000000000002</v>
      </c>
      <c r="X49" s="101" t="s">
        <v>65</v>
      </c>
      <c r="Y49" s="102">
        <v>31.3</v>
      </c>
      <c r="Z49" s="101" t="s">
        <v>69</v>
      </c>
      <c r="AA49" s="102">
        <v>23.400000000000002</v>
      </c>
      <c r="AB49" s="101" t="s">
        <v>25</v>
      </c>
      <c r="AC49" s="64">
        <v>20</v>
      </c>
      <c r="AD49" s="131">
        <f>AC49/28</f>
        <v>0.7142857142857143</v>
      </c>
      <c r="AE49" s="144">
        <f t="shared" si="23"/>
        <v>0</v>
      </c>
      <c r="AF49" s="146">
        <f t="shared" si="24"/>
        <v>0.47142857142857147</v>
      </c>
      <c r="AG49" s="9" t="b">
        <v>0</v>
      </c>
      <c r="AH49" s="9" t="b">
        <v>0</v>
      </c>
      <c r="AI49" s="9" t="b">
        <v>0</v>
      </c>
      <c r="AJ49" s="9" t="b">
        <v>0</v>
      </c>
      <c r="AK49" s="71" t="s">
        <v>190</v>
      </c>
      <c r="AL49" s="45">
        <v>-999</v>
      </c>
      <c r="AM49" s="44">
        <f t="shared" si="25"/>
        <v>-999</v>
      </c>
      <c r="AN49" s="149">
        <f t="shared" si="45"/>
        <v>-999</v>
      </c>
      <c r="AO49" s="45">
        <v>-999</v>
      </c>
      <c r="AP49" s="44">
        <f t="shared" si="26"/>
        <v>-999</v>
      </c>
      <c r="AQ49" s="149">
        <f t="shared" si="27"/>
        <v>-999</v>
      </c>
      <c r="AR49" s="45">
        <v>-999</v>
      </c>
      <c r="AS49" s="44">
        <f t="shared" si="28"/>
        <v>-999</v>
      </c>
      <c r="AT49" s="149">
        <f t="shared" si="29"/>
        <v>-999</v>
      </c>
      <c r="AU49" s="45">
        <v>-999</v>
      </c>
      <c r="AV49" s="44">
        <f t="shared" si="30"/>
        <v>-999</v>
      </c>
      <c r="AW49" s="149">
        <f t="shared" si="31"/>
        <v>-999</v>
      </c>
      <c r="AX49" s="45">
        <v>-999</v>
      </c>
      <c r="AY49" s="44">
        <f t="shared" si="32"/>
        <v>-999</v>
      </c>
      <c r="AZ49" s="149">
        <f t="shared" si="33"/>
        <v>-999</v>
      </c>
      <c r="BA49" s="76">
        <v>5.5</v>
      </c>
      <c r="BB49" s="44">
        <f t="shared" si="34"/>
        <v>0.18037519582139233</v>
      </c>
      <c r="BC49" s="55">
        <f t="shared" si="35"/>
        <v>878.625</v>
      </c>
      <c r="BD49" s="44">
        <v>-999</v>
      </c>
      <c r="BE49" s="45">
        <v>-999</v>
      </c>
      <c r="BF49" s="45">
        <v>-999</v>
      </c>
      <c r="BG49" s="45">
        <v>-999</v>
      </c>
      <c r="BH49" s="45">
        <v>-999</v>
      </c>
      <c r="BI49" s="76">
        <v>4.5</v>
      </c>
      <c r="BJ49" s="81">
        <f t="shared" si="36"/>
        <v>718.875</v>
      </c>
      <c r="BK49" s="44">
        <f t="shared" si="37"/>
        <v>0.16401648835011748</v>
      </c>
      <c r="BL49" s="137">
        <v>-999</v>
      </c>
      <c r="BM49" s="45">
        <v>-999</v>
      </c>
      <c r="BN49" s="45">
        <v>-999</v>
      </c>
      <c r="BO49" s="45">
        <v>-999</v>
      </c>
      <c r="BP49" s="45">
        <v>-999</v>
      </c>
      <c r="BQ49" s="76">
        <v>6.3</v>
      </c>
      <c r="BR49" s="81">
        <f t="shared" si="38"/>
        <v>1006.425</v>
      </c>
      <c r="BS49" s="44">
        <f t="shared" si="39"/>
        <v>0.19222932314310512</v>
      </c>
      <c r="BT49" s="71">
        <v>-999</v>
      </c>
      <c r="BU49" s="48">
        <v>-999</v>
      </c>
      <c r="BV49" s="44">
        <f t="shared" si="40"/>
        <v>-999</v>
      </c>
      <c r="BW49" s="48">
        <v>-999</v>
      </c>
      <c r="BX49" s="44">
        <f t="shared" si="41"/>
        <v>-999</v>
      </c>
      <c r="BY49" s="48">
        <v>-999</v>
      </c>
      <c r="BZ49" s="44">
        <f t="shared" si="42"/>
        <v>-999</v>
      </c>
      <c r="CA49" s="48">
        <v>-999</v>
      </c>
      <c r="CB49" s="44">
        <f t="shared" si="43"/>
        <v>-999</v>
      </c>
      <c r="CC49" s="48">
        <v>-999</v>
      </c>
      <c r="CD49" s="44">
        <f t="shared" si="44"/>
        <v>-999</v>
      </c>
      <c r="CE49" s="55">
        <v>-999</v>
      </c>
      <c r="CF49" s="129" t="s">
        <v>556</v>
      </c>
      <c r="CG49" s="30" t="b">
        <v>1</v>
      </c>
      <c r="CH49" s="7" t="b">
        <v>1</v>
      </c>
    </row>
    <row r="50" spans="1:86" ht="21" customHeight="1">
      <c r="A50" s="10" t="s">
        <v>624</v>
      </c>
      <c r="B50" s="23" t="s">
        <v>431</v>
      </c>
      <c r="C50" s="23" t="s">
        <v>174</v>
      </c>
      <c r="D50" s="24" t="s">
        <v>178</v>
      </c>
      <c r="E50" s="23" t="s">
        <v>71</v>
      </c>
      <c r="F50">
        <v>3</v>
      </c>
      <c r="G50" s="23">
        <v>9404</v>
      </c>
      <c r="H50" s="23" t="s">
        <v>29</v>
      </c>
      <c r="I50" s="23" t="s">
        <v>389</v>
      </c>
      <c r="J50" t="s">
        <v>522</v>
      </c>
      <c r="K50"/>
      <c r="L50" s="43">
        <v>64.099999999999994</v>
      </c>
      <c r="M50" s="26">
        <v>39.799999999999997</v>
      </c>
      <c r="N50" s="26">
        <v>-999</v>
      </c>
      <c r="O50" s="26">
        <v>-999</v>
      </c>
      <c r="P50" s="26">
        <v>-999</v>
      </c>
      <c r="Q50" s="26">
        <v>-999</v>
      </c>
      <c r="R50" s="26">
        <v>-999</v>
      </c>
      <c r="S50" s="96">
        <v>-999</v>
      </c>
      <c r="T50" s="97">
        <v>-999</v>
      </c>
      <c r="U50" s="98">
        <v>-999</v>
      </c>
      <c r="V50" s="97" t="s">
        <v>184</v>
      </c>
      <c r="W50" s="98">
        <v>-999</v>
      </c>
      <c r="X50" s="97">
        <v>-999</v>
      </c>
      <c r="Y50" s="105">
        <v>-999</v>
      </c>
      <c r="Z50" s="97" t="s">
        <v>136</v>
      </c>
      <c r="AA50" s="98">
        <v>-999</v>
      </c>
      <c r="AB50" s="97">
        <v>-999</v>
      </c>
      <c r="AC50" s="63">
        <v>16</v>
      </c>
      <c r="AD50" s="131">
        <f>AC50/28</f>
        <v>0.5714285714285714</v>
      </c>
      <c r="AE50" s="144">
        <f t="shared" si="23"/>
        <v>0</v>
      </c>
      <c r="AF50" s="146">
        <f t="shared" si="24"/>
        <v>0.37714285714285711</v>
      </c>
      <c r="AG50" s="28" t="b">
        <v>0</v>
      </c>
      <c r="AH50" s="28" t="b">
        <v>0</v>
      </c>
      <c r="AI50" s="28" t="b">
        <v>0</v>
      </c>
      <c r="AJ50" s="28" t="b">
        <v>0</v>
      </c>
      <c r="AK50" s="71" t="s">
        <v>190</v>
      </c>
      <c r="AL50" s="48">
        <v>-999</v>
      </c>
      <c r="AM50" s="44">
        <f t="shared" si="25"/>
        <v>-999</v>
      </c>
      <c r="AN50" s="149">
        <f t="shared" si="45"/>
        <v>-999</v>
      </c>
      <c r="AO50" s="48">
        <v>-999</v>
      </c>
      <c r="AP50" s="44">
        <f t="shared" si="26"/>
        <v>-999</v>
      </c>
      <c r="AQ50" s="149">
        <f t="shared" si="27"/>
        <v>-999</v>
      </c>
      <c r="AR50" s="48">
        <v>11.2</v>
      </c>
      <c r="AS50" s="44">
        <f t="shared" si="28"/>
        <v>0.3252064750007147</v>
      </c>
      <c r="AT50" s="149">
        <f t="shared" si="29"/>
        <v>1053.2479999999998</v>
      </c>
      <c r="AU50" s="48">
        <v>0.1</v>
      </c>
      <c r="AV50" s="44">
        <f t="shared" si="30"/>
        <v>3.2593157394994805E-2</v>
      </c>
      <c r="AW50" s="149">
        <f t="shared" si="31"/>
        <v>9.4039999999999999</v>
      </c>
      <c r="AX50" s="48">
        <v>0.1</v>
      </c>
      <c r="AY50" s="44">
        <f t="shared" si="32"/>
        <v>3.2593157394994805E-2</v>
      </c>
      <c r="AZ50" s="149">
        <f t="shared" si="33"/>
        <v>9.4039999999999999</v>
      </c>
      <c r="BA50" s="75">
        <v>11.4</v>
      </c>
      <c r="BB50" s="44">
        <f t="shared" si="34"/>
        <v>0.32772756890674115</v>
      </c>
      <c r="BC50" s="55">
        <f t="shared" si="35"/>
        <v>1072.056</v>
      </c>
      <c r="BD50" s="55">
        <v>-999</v>
      </c>
      <c r="BE50" s="48">
        <v>-999</v>
      </c>
      <c r="BF50" s="48">
        <v>-999</v>
      </c>
      <c r="BG50" s="48">
        <v>-999</v>
      </c>
      <c r="BH50" s="48">
        <v>-999</v>
      </c>
      <c r="BI50" s="75">
        <v>5.2</v>
      </c>
      <c r="BJ50" s="81">
        <f t="shared" si="36"/>
        <v>489.00800000000004</v>
      </c>
      <c r="BK50" s="44">
        <f t="shared" si="37"/>
        <v>0.22895468264163196</v>
      </c>
      <c r="BL50" s="136">
        <v>-999</v>
      </c>
      <c r="BM50" s="48">
        <v>-999</v>
      </c>
      <c r="BN50" s="48">
        <v>-999</v>
      </c>
      <c r="BO50" s="48">
        <v>-999</v>
      </c>
      <c r="BP50" s="48">
        <v>-999</v>
      </c>
      <c r="BQ50" s="75">
        <v>14.8</v>
      </c>
      <c r="BR50" s="81">
        <f t="shared" si="38"/>
        <v>1391.7920000000001</v>
      </c>
      <c r="BS50" s="44">
        <f t="shared" si="39"/>
        <v>0.36617976772124905</v>
      </c>
      <c r="BT50" s="71">
        <v>-999</v>
      </c>
      <c r="BU50" s="48">
        <v>-999</v>
      </c>
      <c r="BV50" s="44">
        <f t="shared" si="40"/>
        <v>-999</v>
      </c>
      <c r="BW50" s="48">
        <v>-999</v>
      </c>
      <c r="BX50" s="44">
        <f t="shared" si="41"/>
        <v>-999</v>
      </c>
      <c r="BY50" s="48">
        <v>-999</v>
      </c>
      <c r="BZ50" s="44">
        <f t="shared" si="42"/>
        <v>-999</v>
      </c>
      <c r="CA50" s="48">
        <v>-999</v>
      </c>
      <c r="CB50" s="44">
        <f t="shared" si="43"/>
        <v>-999</v>
      </c>
      <c r="CC50" s="48">
        <v>-999</v>
      </c>
      <c r="CD50" s="44">
        <f t="shared" si="44"/>
        <v>-999</v>
      </c>
      <c r="CE50" s="55">
        <v>-999</v>
      </c>
      <c r="CF50" s="129" t="s">
        <v>555</v>
      </c>
      <c r="CG50" s="30" t="b">
        <v>0</v>
      </c>
      <c r="CH50" s="7" t="b">
        <v>1</v>
      </c>
    </row>
    <row r="51" spans="1:86" ht="21" customHeight="1">
      <c r="A51" s="10" t="s">
        <v>625</v>
      </c>
      <c r="B51" s="23" t="s">
        <v>432</v>
      </c>
      <c r="C51" s="13" t="s">
        <v>107</v>
      </c>
      <c r="D51" s="14">
        <v>2006</v>
      </c>
      <c r="E51" s="15" t="s">
        <v>106</v>
      </c>
      <c r="F51">
        <v>6</v>
      </c>
      <c r="G51" s="15">
        <v>2356</v>
      </c>
      <c r="H51" s="15" t="s">
        <v>23</v>
      </c>
      <c r="I51" s="13" t="s">
        <v>404</v>
      </c>
      <c r="J51" t="s">
        <v>524</v>
      </c>
      <c r="K51" t="s">
        <v>527</v>
      </c>
      <c r="L51" s="46">
        <v>51</v>
      </c>
      <c r="M51" s="16">
        <v>50.5</v>
      </c>
      <c r="N51" s="16">
        <v>-999</v>
      </c>
      <c r="O51" s="16">
        <v>-999</v>
      </c>
      <c r="P51" s="16">
        <v>-999</v>
      </c>
      <c r="Q51" s="16">
        <v>-999</v>
      </c>
      <c r="R51" s="16">
        <v>84.5</v>
      </c>
      <c r="S51" s="106">
        <v>10.1</v>
      </c>
      <c r="T51" s="107">
        <v>-999</v>
      </c>
      <c r="U51" s="108">
        <v>35.5</v>
      </c>
      <c r="V51" s="107" t="s">
        <v>36</v>
      </c>
      <c r="W51" s="108">
        <v>10.199999999999999</v>
      </c>
      <c r="X51" s="107" t="s">
        <v>39</v>
      </c>
      <c r="Y51" s="108">
        <v>-999</v>
      </c>
      <c r="Z51" s="107">
        <v>-999</v>
      </c>
      <c r="AA51" s="108">
        <v>23</v>
      </c>
      <c r="AB51" s="107">
        <v>-999</v>
      </c>
      <c r="AC51" s="65">
        <v>22</v>
      </c>
      <c r="AD51" s="131">
        <f>AC51/28</f>
        <v>0.7857142857142857</v>
      </c>
      <c r="AE51" s="144">
        <f t="shared" si="23"/>
        <v>0.25</v>
      </c>
      <c r="AF51" s="146">
        <f t="shared" si="24"/>
        <v>0.60357142857142854</v>
      </c>
      <c r="AG51" s="16" t="b">
        <v>0</v>
      </c>
      <c r="AH51" s="16" t="b">
        <v>1</v>
      </c>
      <c r="AI51" s="16" t="b">
        <v>0</v>
      </c>
      <c r="AJ51" s="16" t="b">
        <v>0</v>
      </c>
      <c r="AK51" s="71" t="s">
        <v>190</v>
      </c>
      <c r="AL51" s="46">
        <v>2</v>
      </c>
      <c r="AM51" s="44">
        <f t="shared" si="25"/>
        <v>0.2884299752006152</v>
      </c>
      <c r="AN51" s="149">
        <f t="shared" si="45"/>
        <v>47.12</v>
      </c>
      <c r="AO51" s="46">
        <v>6.7</v>
      </c>
      <c r="AP51" s="44">
        <f t="shared" si="26"/>
        <v>0.51509884986023258</v>
      </c>
      <c r="AQ51" s="149">
        <f t="shared" si="27"/>
        <v>157.852</v>
      </c>
      <c r="AR51" s="46">
        <v>0.5</v>
      </c>
      <c r="AS51" s="44">
        <f t="shared" si="28"/>
        <v>0.14531448245630921</v>
      </c>
      <c r="AT51" s="149">
        <f t="shared" si="29"/>
        <v>11.78</v>
      </c>
      <c r="AU51" s="46">
        <f>0.002*100</f>
        <v>0.2</v>
      </c>
      <c r="AV51" s="44">
        <f t="shared" si="30"/>
        <v>9.2043394209780457E-2</v>
      </c>
      <c r="AW51" s="149">
        <f t="shared" si="31"/>
        <v>4.7119999999999997</v>
      </c>
      <c r="AX51" s="46">
        <v>0</v>
      </c>
      <c r="AY51" s="44">
        <f t="shared" si="32"/>
        <v>0</v>
      </c>
      <c r="AZ51" s="149">
        <f t="shared" si="33"/>
        <v>0</v>
      </c>
      <c r="BA51" s="76">
        <v>13.7</v>
      </c>
      <c r="BB51" s="44">
        <f t="shared" si="34"/>
        <v>0.70839916136076719</v>
      </c>
      <c r="BC51" s="55">
        <f t="shared" si="35"/>
        <v>322.77199999999993</v>
      </c>
      <c r="BD51" s="46">
        <v>-999</v>
      </c>
      <c r="BE51" s="46">
        <v>-999</v>
      </c>
      <c r="BF51" s="46">
        <v>-999</v>
      </c>
      <c r="BG51" s="46">
        <v>-999</v>
      </c>
      <c r="BH51" s="46">
        <v>-999</v>
      </c>
      <c r="BI51" s="76">
        <v>-999</v>
      </c>
      <c r="BJ51" s="81">
        <f t="shared" si="36"/>
        <v>-999</v>
      </c>
      <c r="BK51" s="44">
        <f t="shared" si="37"/>
        <v>-999</v>
      </c>
      <c r="BL51" s="139">
        <v>-999</v>
      </c>
      <c r="BM51" s="46">
        <v>-999</v>
      </c>
      <c r="BN51" s="46">
        <v>-999</v>
      </c>
      <c r="BO51" s="46">
        <v>-999</v>
      </c>
      <c r="BP51" s="46">
        <v>-999</v>
      </c>
      <c r="BQ51" s="76">
        <v>-999</v>
      </c>
      <c r="BR51" s="81">
        <f t="shared" si="38"/>
        <v>-999</v>
      </c>
      <c r="BS51" s="44">
        <f t="shared" si="39"/>
        <v>-999</v>
      </c>
      <c r="BT51" s="71">
        <v>-999</v>
      </c>
      <c r="BU51" s="48">
        <v>-999</v>
      </c>
      <c r="BV51" s="44">
        <f t="shared" si="40"/>
        <v>-999</v>
      </c>
      <c r="BW51" s="48">
        <v>-999</v>
      </c>
      <c r="BX51" s="44">
        <f t="shared" si="41"/>
        <v>-999</v>
      </c>
      <c r="BY51" s="48">
        <v>-999</v>
      </c>
      <c r="BZ51" s="44">
        <f t="shared" si="42"/>
        <v>-999</v>
      </c>
      <c r="CA51" s="48">
        <v>-999</v>
      </c>
      <c r="CB51" s="44">
        <f t="shared" si="43"/>
        <v>-999</v>
      </c>
      <c r="CC51" s="48">
        <v>-999</v>
      </c>
      <c r="CD51" s="44">
        <f t="shared" si="44"/>
        <v>-999</v>
      </c>
      <c r="CE51" s="55">
        <v>-999</v>
      </c>
      <c r="CF51" s="129" t="s">
        <v>556</v>
      </c>
      <c r="CG51" s="30" t="b">
        <v>1</v>
      </c>
      <c r="CH51" s="10" t="b">
        <v>0</v>
      </c>
    </row>
    <row r="52" spans="1:86" ht="21" customHeight="1">
      <c r="A52" s="32" t="s">
        <v>626</v>
      </c>
      <c r="B52" s="23" t="s">
        <v>486</v>
      </c>
      <c r="C52" s="38" t="s">
        <v>563</v>
      </c>
      <c r="D52" s="39" t="s">
        <v>278</v>
      </c>
      <c r="E52" s="38" t="s">
        <v>133</v>
      </c>
      <c r="F52">
        <v>2</v>
      </c>
      <c r="G52" s="38">
        <f>1247+1347</f>
        <v>2594</v>
      </c>
      <c r="H52" s="38" t="s">
        <v>29</v>
      </c>
      <c r="I52" s="38" t="s">
        <v>279</v>
      </c>
      <c r="J52" t="s">
        <v>527</v>
      </c>
      <c r="K52"/>
      <c r="L52" s="43">
        <v>51.9</v>
      </c>
      <c r="M52" s="40">
        <v>63.1</v>
      </c>
      <c r="N52" s="40">
        <v>79.900000000000006</v>
      </c>
      <c r="O52" s="40">
        <v>27.8</v>
      </c>
      <c r="P52" s="40">
        <v>-999</v>
      </c>
      <c r="Q52" s="40">
        <v>-999</v>
      </c>
      <c r="R52" s="40">
        <v>-999</v>
      </c>
      <c r="S52" s="96">
        <v>8</v>
      </c>
      <c r="T52" s="112" t="s">
        <v>281</v>
      </c>
      <c r="U52" s="98">
        <v>38.200000000000003</v>
      </c>
      <c r="V52" s="112" t="s">
        <v>280</v>
      </c>
      <c r="W52" s="98">
        <v>-999</v>
      </c>
      <c r="X52" s="112">
        <v>-999</v>
      </c>
      <c r="Y52" s="98">
        <v>-999</v>
      </c>
      <c r="Z52" s="112">
        <v>-999</v>
      </c>
      <c r="AA52" s="98">
        <v>11.6</v>
      </c>
      <c r="AB52" s="112" t="s">
        <v>25</v>
      </c>
      <c r="AC52" s="63">
        <v>22</v>
      </c>
      <c r="AD52" s="132">
        <v>0.7857142857142857</v>
      </c>
      <c r="AE52" s="144">
        <f t="shared" si="23"/>
        <v>0.5</v>
      </c>
      <c r="AF52" s="146">
        <f t="shared" si="24"/>
        <v>0.68857142857142861</v>
      </c>
      <c r="AG52" s="29" t="b">
        <v>0</v>
      </c>
      <c r="AH52" s="29" t="b">
        <v>1</v>
      </c>
      <c r="AI52" s="29" t="b">
        <v>1</v>
      </c>
      <c r="AJ52" s="29" t="b">
        <v>0</v>
      </c>
      <c r="AK52" s="73" t="s">
        <v>190</v>
      </c>
      <c r="AL52" s="48">
        <v>-999</v>
      </c>
      <c r="AM52" s="55">
        <f t="shared" si="25"/>
        <v>-999</v>
      </c>
      <c r="AN52" s="149">
        <f t="shared" si="45"/>
        <v>-999</v>
      </c>
      <c r="AO52" s="48">
        <v>-999</v>
      </c>
      <c r="AP52" s="55">
        <f t="shared" si="26"/>
        <v>-999</v>
      </c>
      <c r="AQ52" s="149">
        <f t="shared" si="27"/>
        <v>-999</v>
      </c>
      <c r="AR52" s="48">
        <v>-999</v>
      </c>
      <c r="AS52" s="55">
        <f t="shared" si="28"/>
        <v>-999</v>
      </c>
      <c r="AT52" s="149">
        <f t="shared" si="29"/>
        <v>-999</v>
      </c>
      <c r="AU52" s="48">
        <v>-999</v>
      </c>
      <c r="AV52" s="55">
        <f t="shared" si="30"/>
        <v>-999</v>
      </c>
      <c r="AW52" s="149">
        <f t="shared" si="31"/>
        <v>-999</v>
      </c>
      <c r="AX52" s="48">
        <v>-999</v>
      </c>
      <c r="AY52" s="55">
        <f t="shared" si="32"/>
        <v>-999</v>
      </c>
      <c r="AZ52" s="149">
        <f t="shared" si="33"/>
        <v>-999</v>
      </c>
      <c r="BA52" s="75">
        <f>(BI52+BQ52)/2</f>
        <v>13.600000000000001</v>
      </c>
      <c r="BB52" s="55">
        <f t="shared" si="34"/>
        <v>0.67304071852267178</v>
      </c>
      <c r="BC52" s="55">
        <f t="shared" si="35"/>
        <v>352.78400000000005</v>
      </c>
      <c r="BD52" s="55">
        <v>-999</v>
      </c>
      <c r="BE52" s="48">
        <v>-999</v>
      </c>
      <c r="BF52" s="48">
        <v>-999</v>
      </c>
      <c r="BG52" s="48">
        <v>-999</v>
      </c>
      <c r="BH52" s="48">
        <v>-999</v>
      </c>
      <c r="BI52" s="75">
        <v>9.9</v>
      </c>
      <c r="BJ52" s="81">
        <f t="shared" si="36"/>
        <v>256.80600000000004</v>
      </c>
      <c r="BK52" s="55">
        <f t="shared" si="37"/>
        <v>0.58640141137790458</v>
      </c>
      <c r="BL52" s="136">
        <v>-999</v>
      </c>
      <c r="BM52" s="48">
        <v>-999</v>
      </c>
      <c r="BN52" s="48">
        <v>-999</v>
      </c>
      <c r="BO52" s="48">
        <v>-999</v>
      </c>
      <c r="BP52" s="48">
        <v>-999</v>
      </c>
      <c r="BQ52" s="75">
        <v>17.3</v>
      </c>
      <c r="BR52" s="81">
        <f t="shared" si="38"/>
        <v>448.76200000000006</v>
      </c>
      <c r="BS52" s="55">
        <f t="shared" si="39"/>
        <v>0.74266134617090196</v>
      </c>
      <c r="BT52" s="73">
        <v>-999</v>
      </c>
      <c r="BU52" s="29">
        <v>-999</v>
      </c>
      <c r="BV52" s="55">
        <f t="shared" si="40"/>
        <v>-999</v>
      </c>
      <c r="BW52" s="29">
        <v>-999</v>
      </c>
      <c r="BX52" s="55">
        <f t="shared" si="41"/>
        <v>-999</v>
      </c>
      <c r="BY52" s="29">
        <v>-999</v>
      </c>
      <c r="BZ52" s="55">
        <f t="shared" si="42"/>
        <v>-999</v>
      </c>
      <c r="CA52" s="29">
        <v>-999</v>
      </c>
      <c r="CB52" s="55">
        <f t="shared" si="43"/>
        <v>-999</v>
      </c>
      <c r="CC52" s="29">
        <v>-999</v>
      </c>
      <c r="CD52" s="55">
        <f t="shared" si="44"/>
        <v>-999</v>
      </c>
      <c r="CE52" s="55">
        <v>-999</v>
      </c>
      <c r="CF52" s="155" t="s">
        <v>555</v>
      </c>
      <c r="CG52" s="32" t="b">
        <v>1</v>
      </c>
      <c r="CH52" s="10" t="b">
        <v>0</v>
      </c>
    </row>
    <row r="53" spans="1:86" ht="21" customHeight="1">
      <c r="A53" s="32" t="s">
        <v>626</v>
      </c>
      <c r="B53" s="23" t="s">
        <v>488</v>
      </c>
      <c r="C53" s="38" t="s">
        <v>565</v>
      </c>
      <c r="D53" s="39" t="s">
        <v>278</v>
      </c>
      <c r="E53" s="38" t="s">
        <v>133</v>
      </c>
      <c r="F53">
        <v>2</v>
      </c>
      <c r="G53" s="38">
        <f>838+1034</f>
        <v>1872</v>
      </c>
      <c r="H53" s="38" t="s">
        <v>29</v>
      </c>
      <c r="I53" s="38" t="s">
        <v>279</v>
      </c>
      <c r="J53" t="s">
        <v>527</v>
      </c>
      <c r="K53"/>
      <c r="L53" s="48">
        <v>55.2</v>
      </c>
      <c r="M53" s="40">
        <v>62.8</v>
      </c>
      <c r="N53" s="40">
        <v>85.9</v>
      </c>
      <c r="O53" s="40">
        <v>30</v>
      </c>
      <c r="P53" s="40">
        <v>-999</v>
      </c>
      <c r="Q53" s="40">
        <v>-999</v>
      </c>
      <c r="R53" s="40">
        <v>-999</v>
      </c>
      <c r="S53" s="119">
        <v>20.399999999999999</v>
      </c>
      <c r="T53" s="112" t="s">
        <v>281</v>
      </c>
      <c r="U53" s="98">
        <v>59.9</v>
      </c>
      <c r="V53" s="112" t="s">
        <v>280</v>
      </c>
      <c r="W53" s="98">
        <v>-999</v>
      </c>
      <c r="X53" s="112">
        <v>-999</v>
      </c>
      <c r="Y53" s="98">
        <v>-999</v>
      </c>
      <c r="Z53" s="112">
        <v>-999</v>
      </c>
      <c r="AA53" s="98">
        <v>18</v>
      </c>
      <c r="AB53" s="112" t="s">
        <v>25</v>
      </c>
      <c r="AC53" s="63">
        <v>22</v>
      </c>
      <c r="AD53" s="132">
        <v>0.7857142857142857</v>
      </c>
      <c r="AE53" s="144">
        <f t="shared" si="23"/>
        <v>0.5</v>
      </c>
      <c r="AF53" s="146">
        <f t="shared" si="24"/>
        <v>0.68857142857142861</v>
      </c>
      <c r="AG53" s="29" t="b">
        <v>0</v>
      </c>
      <c r="AH53" s="29" t="b">
        <v>1</v>
      </c>
      <c r="AI53" s="29" t="b">
        <v>1</v>
      </c>
      <c r="AJ53" s="29" t="b">
        <v>0</v>
      </c>
      <c r="AK53" s="73" t="s">
        <v>190</v>
      </c>
      <c r="AL53" s="48">
        <v>-999</v>
      </c>
      <c r="AM53" s="55">
        <f t="shared" si="25"/>
        <v>-999</v>
      </c>
      <c r="AN53" s="149">
        <f t="shared" si="45"/>
        <v>-999</v>
      </c>
      <c r="AO53" s="48">
        <v>-999</v>
      </c>
      <c r="AP53" s="55">
        <f t="shared" si="26"/>
        <v>-999</v>
      </c>
      <c r="AQ53" s="149">
        <f t="shared" si="27"/>
        <v>-999</v>
      </c>
      <c r="AR53" s="48">
        <v>-999</v>
      </c>
      <c r="AS53" s="55">
        <f t="shared" si="28"/>
        <v>-999</v>
      </c>
      <c r="AT53" s="149">
        <f t="shared" si="29"/>
        <v>-999</v>
      </c>
      <c r="AU53" s="48">
        <v>-999</v>
      </c>
      <c r="AV53" s="55">
        <f t="shared" si="30"/>
        <v>-999</v>
      </c>
      <c r="AW53" s="149">
        <f t="shared" si="31"/>
        <v>-999</v>
      </c>
      <c r="AX53" s="48">
        <v>-999</v>
      </c>
      <c r="AY53" s="55">
        <f t="shared" si="32"/>
        <v>-999</v>
      </c>
      <c r="AZ53" s="149">
        <f t="shared" si="33"/>
        <v>-999</v>
      </c>
      <c r="BA53" s="85">
        <f>(BI53+BQ53)/2</f>
        <v>7.5500000000000007</v>
      </c>
      <c r="BB53" s="55">
        <f t="shared" si="34"/>
        <v>0.61062419899080511</v>
      </c>
      <c r="BC53" s="55">
        <f t="shared" si="35"/>
        <v>141.33600000000001</v>
      </c>
      <c r="BD53" s="55">
        <v>-999</v>
      </c>
      <c r="BE53" s="48">
        <v>-999</v>
      </c>
      <c r="BF53" s="48">
        <v>-999</v>
      </c>
      <c r="BG53" s="48">
        <v>-999</v>
      </c>
      <c r="BH53" s="48">
        <v>-999</v>
      </c>
      <c r="BI53" s="85">
        <v>7.9</v>
      </c>
      <c r="BJ53" s="81">
        <f t="shared" si="36"/>
        <v>147.88800000000001</v>
      </c>
      <c r="BK53" s="55">
        <f t="shared" si="37"/>
        <v>0.62343393538920533</v>
      </c>
      <c r="BL53" s="136">
        <v>-999</v>
      </c>
      <c r="BM53" s="48">
        <v>-999</v>
      </c>
      <c r="BN53" s="48">
        <v>-999</v>
      </c>
      <c r="BO53" s="48">
        <v>-999</v>
      </c>
      <c r="BP53" s="48">
        <v>-999</v>
      </c>
      <c r="BQ53" s="85">
        <v>7.2</v>
      </c>
      <c r="BR53" s="81">
        <f t="shared" si="38"/>
        <v>134.78400000000002</v>
      </c>
      <c r="BS53" s="55">
        <f t="shared" si="39"/>
        <v>0.59743039504454143</v>
      </c>
      <c r="BT53" s="73">
        <v>-999</v>
      </c>
      <c r="BU53" s="29">
        <v>-999</v>
      </c>
      <c r="BV53" s="55">
        <f t="shared" si="40"/>
        <v>-999</v>
      </c>
      <c r="BW53" s="29">
        <v>-999</v>
      </c>
      <c r="BX53" s="55">
        <f t="shared" si="41"/>
        <v>-999</v>
      </c>
      <c r="BY53" s="29">
        <v>-999</v>
      </c>
      <c r="BZ53" s="55">
        <f t="shared" si="42"/>
        <v>-999</v>
      </c>
      <c r="CA53" s="29">
        <v>-999</v>
      </c>
      <c r="CB53" s="55">
        <f t="shared" si="43"/>
        <v>-999</v>
      </c>
      <c r="CC53" s="29">
        <v>-999</v>
      </c>
      <c r="CD53" s="55">
        <f t="shared" si="44"/>
        <v>-999</v>
      </c>
      <c r="CE53" s="55">
        <v>-999</v>
      </c>
      <c r="CF53" s="155" t="s">
        <v>555</v>
      </c>
      <c r="CG53" s="32" t="b">
        <v>1</v>
      </c>
      <c r="CH53" s="10" t="b">
        <v>0</v>
      </c>
    </row>
    <row r="54" spans="1:86" ht="21" customHeight="1">
      <c r="A54" s="32" t="s">
        <v>626</v>
      </c>
      <c r="B54" s="23" t="s">
        <v>487</v>
      </c>
      <c r="C54" s="38" t="s">
        <v>564</v>
      </c>
      <c r="D54" s="39" t="s">
        <v>278</v>
      </c>
      <c r="E54" s="38" t="s">
        <v>133</v>
      </c>
      <c r="F54">
        <v>2</v>
      </c>
      <c r="G54" s="38">
        <f>365+413</f>
        <v>778</v>
      </c>
      <c r="H54" s="38" t="s">
        <v>29</v>
      </c>
      <c r="I54" s="38" t="s">
        <v>279</v>
      </c>
      <c r="J54" t="s">
        <v>527</v>
      </c>
      <c r="K54"/>
      <c r="L54" s="48">
        <v>53.1</v>
      </c>
      <c r="M54" s="40">
        <v>63</v>
      </c>
      <c r="N54" s="40">
        <v>63.1</v>
      </c>
      <c r="O54" s="40">
        <v>24</v>
      </c>
      <c r="P54" s="40">
        <v>-999</v>
      </c>
      <c r="Q54" s="40">
        <v>-999</v>
      </c>
      <c r="R54" s="40">
        <v>-999</v>
      </c>
      <c r="S54" s="96">
        <v>15.3</v>
      </c>
      <c r="T54" s="112" t="s">
        <v>281</v>
      </c>
      <c r="U54" s="98">
        <v>38.700000000000003</v>
      </c>
      <c r="V54" s="112" t="s">
        <v>280</v>
      </c>
      <c r="W54" s="98">
        <v>-999</v>
      </c>
      <c r="X54" s="112">
        <v>-999</v>
      </c>
      <c r="Y54" s="98">
        <v>-999</v>
      </c>
      <c r="Z54" s="112">
        <v>-999</v>
      </c>
      <c r="AA54" s="98">
        <v>5.35</v>
      </c>
      <c r="AB54" s="112" t="s">
        <v>25</v>
      </c>
      <c r="AC54" s="63">
        <v>22</v>
      </c>
      <c r="AD54" s="132">
        <v>0.7857142857142857</v>
      </c>
      <c r="AE54" s="144">
        <f t="shared" si="23"/>
        <v>0.5</v>
      </c>
      <c r="AF54" s="146">
        <f t="shared" si="24"/>
        <v>0.68857142857142861</v>
      </c>
      <c r="AG54" s="29" t="b">
        <v>0</v>
      </c>
      <c r="AH54" s="29" t="b">
        <v>1</v>
      </c>
      <c r="AI54" s="29" t="b">
        <v>1</v>
      </c>
      <c r="AJ54" s="29" t="b">
        <v>0</v>
      </c>
      <c r="AK54" s="73" t="s">
        <v>190</v>
      </c>
      <c r="AL54" s="48">
        <v>-999</v>
      </c>
      <c r="AM54" s="55">
        <f t="shared" si="25"/>
        <v>-999</v>
      </c>
      <c r="AN54" s="149">
        <f t="shared" si="45"/>
        <v>-999</v>
      </c>
      <c r="AO54" s="48">
        <v>-999</v>
      </c>
      <c r="AP54" s="55">
        <f t="shared" si="26"/>
        <v>-999</v>
      </c>
      <c r="AQ54" s="149">
        <f t="shared" si="27"/>
        <v>-999</v>
      </c>
      <c r="AR54" s="48">
        <v>-999</v>
      </c>
      <c r="AS54" s="55">
        <f t="shared" si="28"/>
        <v>-999</v>
      </c>
      <c r="AT54" s="149">
        <f t="shared" si="29"/>
        <v>-999</v>
      </c>
      <c r="AU54" s="48">
        <v>-999</v>
      </c>
      <c r="AV54" s="55">
        <f t="shared" si="30"/>
        <v>-999</v>
      </c>
      <c r="AW54" s="149">
        <f t="shared" si="31"/>
        <v>-999</v>
      </c>
      <c r="AX54" s="48">
        <v>-999</v>
      </c>
      <c r="AY54" s="55">
        <f t="shared" si="32"/>
        <v>-999</v>
      </c>
      <c r="AZ54" s="149">
        <f t="shared" si="33"/>
        <v>-999</v>
      </c>
      <c r="BA54" s="75">
        <f>(BI54+BQ54)/2</f>
        <v>10.25</v>
      </c>
      <c r="BB54" s="55">
        <f t="shared" si="34"/>
        <v>1.0874000855321946</v>
      </c>
      <c r="BC54" s="55">
        <f t="shared" si="35"/>
        <v>79.74499999999999</v>
      </c>
      <c r="BD54" s="55">
        <v>-999</v>
      </c>
      <c r="BE54" s="48">
        <v>-999</v>
      </c>
      <c r="BF54" s="48">
        <v>-999</v>
      </c>
      <c r="BG54" s="48">
        <v>-999</v>
      </c>
      <c r="BH54" s="48">
        <v>-999</v>
      </c>
      <c r="BI54" s="75">
        <v>9.8000000000000007</v>
      </c>
      <c r="BJ54" s="81">
        <f t="shared" si="36"/>
        <v>76.244</v>
      </c>
      <c r="BK54" s="55">
        <f t="shared" si="37"/>
        <v>1.0659246562260594</v>
      </c>
      <c r="BL54" s="136">
        <v>-999</v>
      </c>
      <c r="BM54" s="48">
        <v>-999</v>
      </c>
      <c r="BN54" s="48">
        <v>-999</v>
      </c>
      <c r="BO54" s="48">
        <v>-999</v>
      </c>
      <c r="BP54" s="48">
        <v>-999</v>
      </c>
      <c r="BQ54" s="75">
        <v>10.7</v>
      </c>
      <c r="BR54" s="81">
        <f t="shared" si="38"/>
        <v>83.245999999999995</v>
      </c>
      <c r="BS54" s="55">
        <f t="shared" si="39"/>
        <v>1.1082246855793758</v>
      </c>
      <c r="BT54" s="73">
        <v>-999</v>
      </c>
      <c r="BU54" s="29">
        <v>-999</v>
      </c>
      <c r="BV54" s="55">
        <f t="shared" si="40"/>
        <v>-999</v>
      </c>
      <c r="BW54" s="29">
        <v>-999</v>
      </c>
      <c r="BX54" s="55">
        <f t="shared" si="41"/>
        <v>-999</v>
      </c>
      <c r="BY54" s="29">
        <v>-999</v>
      </c>
      <c r="BZ54" s="55">
        <f t="shared" si="42"/>
        <v>-999</v>
      </c>
      <c r="CA54" s="29">
        <v>-999</v>
      </c>
      <c r="CB54" s="55">
        <f t="shared" si="43"/>
        <v>-999</v>
      </c>
      <c r="CC54" s="29">
        <v>-999</v>
      </c>
      <c r="CD54" s="55">
        <f t="shared" si="44"/>
        <v>-999</v>
      </c>
      <c r="CE54" s="55">
        <v>-999</v>
      </c>
      <c r="CF54" s="155" t="s">
        <v>555</v>
      </c>
      <c r="CG54" s="32" t="b">
        <v>1</v>
      </c>
      <c r="CH54" s="10" t="b">
        <v>0</v>
      </c>
    </row>
    <row r="55" spans="1:86" ht="21" customHeight="1">
      <c r="A55" s="32" t="s">
        <v>626</v>
      </c>
      <c r="B55" s="23" t="s">
        <v>489</v>
      </c>
      <c r="C55" s="38" t="s">
        <v>566</v>
      </c>
      <c r="D55" s="39" t="s">
        <v>278</v>
      </c>
      <c r="E55" s="38" t="s">
        <v>133</v>
      </c>
      <c r="F55">
        <v>2</v>
      </c>
      <c r="G55" s="38">
        <f>717+769</f>
        <v>1486</v>
      </c>
      <c r="H55" s="38" t="s">
        <v>29</v>
      </c>
      <c r="I55" s="38" t="s">
        <v>279</v>
      </c>
      <c r="J55" t="s">
        <v>527</v>
      </c>
      <c r="K55"/>
      <c r="L55" s="48">
        <v>51.7</v>
      </c>
      <c r="M55" s="40">
        <v>61.8</v>
      </c>
      <c r="N55" s="40">
        <v>77.5</v>
      </c>
      <c r="O55" s="40">
        <v>29.4</v>
      </c>
      <c r="P55" s="40">
        <v>-999</v>
      </c>
      <c r="Q55" s="40">
        <v>-999</v>
      </c>
      <c r="R55" s="40">
        <v>-999</v>
      </c>
      <c r="S55" s="96">
        <v>12.6</v>
      </c>
      <c r="T55" s="112" t="s">
        <v>281</v>
      </c>
      <c r="U55" s="98">
        <v>41.4</v>
      </c>
      <c r="V55" s="112" t="s">
        <v>280</v>
      </c>
      <c r="W55" s="98">
        <v>-999</v>
      </c>
      <c r="X55" s="112">
        <v>-999</v>
      </c>
      <c r="Y55" s="98">
        <v>-999</v>
      </c>
      <c r="Z55" s="112">
        <v>-999</v>
      </c>
      <c r="AA55" s="98">
        <v>13.7</v>
      </c>
      <c r="AB55" s="112" t="s">
        <v>25</v>
      </c>
      <c r="AC55" s="63">
        <v>22</v>
      </c>
      <c r="AD55" s="132">
        <v>0.7857142857142857</v>
      </c>
      <c r="AE55" s="144">
        <f t="shared" si="23"/>
        <v>0.5</v>
      </c>
      <c r="AF55" s="146">
        <f t="shared" si="24"/>
        <v>0.68857142857142861</v>
      </c>
      <c r="AG55" s="29" t="b">
        <v>0</v>
      </c>
      <c r="AH55" s="29" t="b">
        <v>1</v>
      </c>
      <c r="AI55" s="29" t="b">
        <v>1</v>
      </c>
      <c r="AJ55" s="29" t="b">
        <v>0</v>
      </c>
      <c r="AK55" s="73" t="s">
        <v>190</v>
      </c>
      <c r="AL55" s="48">
        <v>-999</v>
      </c>
      <c r="AM55" s="55">
        <f t="shared" si="25"/>
        <v>-999</v>
      </c>
      <c r="AN55" s="149">
        <f t="shared" si="45"/>
        <v>-999</v>
      </c>
      <c r="AO55" s="48">
        <v>-999</v>
      </c>
      <c r="AP55" s="55">
        <f t="shared" si="26"/>
        <v>-999</v>
      </c>
      <c r="AQ55" s="149">
        <f t="shared" si="27"/>
        <v>-999</v>
      </c>
      <c r="AR55" s="48">
        <v>-999</v>
      </c>
      <c r="AS55" s="55">
        <f t="shared" si="28"/>
        <v>-999</v>
      </c>
      <c r="AT55" s="149">
        <f t="shared" si="29"/>
        <v>-999</v>
      </c>
      <c r="AU55" s="48">
        <v>-999</v>
      </c>
      <c r="AV55" s="55">
        <f t="shared" si="30"/>
        <v>-999</v>
      </c>
      <c r="AW55" s="149">
        <f t="shared" si="31"/>
        <v>-999</v>
      </c>
      <c r="AX55" s="48">
        <v>-999</v>
      </c>
      <c r="AY55" s="55">
        <f t="shared" si="32"/>
        <v>-999</v>
      </c>
      <c r="AZ55" s="149">
        <f t="shared" si="33"/>
        <v>-999</v>
      </c>
      <c r="BA55" s="75">
        <f>(BI55+BQ55)/2</f>
        <v>8.25</v>
      </c>
      <c r="BB55" s="55">
        <f t="shared" si="34"/>
        <v>0.71370806771532158</v>
      </c>
      <c r="BC55" s="55">
        <f t="shared" si="35"/>
        <v>122.595</v>
      </c>
      <c r="BD55" s="55">
        <v>-999</v>
      </c>
      <c r="BE55" s="48">
        <v>-999</v>
      </c>
      <c r="BF55" s="48">
        <v>-999</v>
      </c>
      <c r="BG55" s="48">
        <v>-999</v>
      </c>
      <c r="BH55" s="48">
        <v>-999</v>
      </c>
      <c r="BI55" s="75">
        <v>6.9</v>
      </c>
      <c r="BJ55" s="81">
        <f t="shared" si="36"/>
        <v>102.53400000000001</v>
      </c>
      <c r="BK55" s="55">
        <f t="shared" si="37"/>
        <v>0.65749125546232268</v>
      </c>
      <c r="BL55" s="136">
        <v>-999</v>
      </c>
      <c r="BM55" s="48">
        <v>-999</v>
      </c>
      <c r="BN55" s="48">
        <v>-999</v>
      </c>
      <c r="BO55" s="48">
        <v>-999</v>
      </c>
      <c r="BP55" s="48">
        <v>-999</v>
      </c>
      <c r="BQ55" s="75">
        <v>9.6</v>
      </c>
      <c r="BR55" s="81">
        <f t="shared" si="38"/>
        <v>142.65600000000001</v>
      </c>
      <c r="BS55" s="55">
        <f t="shared" si="39"/>
        <v>0.76420597168575011</v>
      </c>
      <c r="BT55" s="73">
        <v>-999</v>
      </c>
      <c r="BU55" s="29">
        <v>-999</v>
      </c>
      <c r="BV55" s="55">
        <f t="shared" si="40"/>
        <v>-999</v>
      </c>
      <c r="BW55" s="29">
        <v>-999</v>
      </c>
      <c r="BX55" s="55">
        <f t="shared" si="41"/>
        <v>-999</v>
      </c>
      <c r="BY55" s="29">
        <v>-999</v>
      </c>
      <c r="BZ55" s="55">
        <f t="shared" si="42"/>
        <v>-999</v>
      </c>
      <c r="CA55" s="29">
        <v>-999</v>
      </c>
      <c r="CB55" s="55">
        <f t="shared" si="43"/>
        <v>-999</v>
      </c>
      <c r="CC55" s="29">
        <v>-999</v>
      </c>
      <c r="CD55" s="55">
        <f t="shared" si="44"/>
        <v>-999</v>
      </c>
      <c r="CE55" s="55">
        <v>-999</v>
      </c>
      <c r="CF55" s="155" t="s">
        <v>555</v>
      </c>
      <c r="CG55" s="32" t="b">
        <v>1</v>
      </c>
      <c r="CH55" s="10" t="b">
        <v>0</v>
      </c>
    </row>
    <row r="56" spans="1:86" ht="21" customHeight="1">
      <c r="A56" s="32" t="s">
        <v>673</v>
      </c>
      <c r="B56" s="23" t="s">
        <v>433</v>
      </c>
      <c r="C56" s="30" t="s">
        <v>56</v>
      </c>
      <c r="D56" s="31" t="s">
        <v>699</v>
      </c>
      <c r="E56" s="32" t="s">
        <v>34</v>
      </c>
      <c r="F56">
        <v>5</v>
      </c>
      <c r="G56" s="30">
        <v>2310</v>
      </c>
      <c r="H56" s="30" t="s">
        <v>23</v>
      </c>
      <c r="I56" s="30" t="s">
        <v>405</v>
      </c>
      <c r="J56" t="s">
        <v>524</v>
      </c>
      <c r="K56" t="s">
        <v>527</v>
      </c>
      <c r="L56" s="43">
        <v>50.476190476190474</v>
      </c>
      <c r="M56" s="33">
        <v>60.7</v>
      </c>
      <c r="N56" s="33">
        <v>67.099999999999994</v>
      </c>
      <c r="O56" s="33">
        <v>23.6</v>
      </c>
      <c r="P56" s="33">
        <v>126</v>
      </c>
      <c r="Q56" s="33">
        <v>76.7</v>
      </c>
      <c r="R56" s="33">
        <v>74.2</v>
      </c>
      <c r="S56" s="103">
        <v>28.499999999999996</v>
      </c>
      <c r="T56" s="101" t="s">
        <v>57</v>
      </c>
      <c r="U56" s="105">
        <v>47.099999999999994</v>
      </c>
      <c r="V56" s="101" t="s">
        <v>36</v>
      </c>
      <c r="W56" s="105">
        <v>4.7</v>
      </c>
      <c r="X56" s="101" t="s">
        <v>54</v>
      </c>
      <c r="Y56" s="105">
        <v>4.55</v>
      </c>
      <c r="Z56" s="101" t="s">
        <v>58</v>
      </c>
      <c r="AA56" s="105">
        <v>-999</v>
      </c>
      <c r="AB56" s="101">
        <v>-999</v>
      </c>
      <c r="AC56" s="63">
        <v>15</v>
      </c>
      <c r="AD56" s="132">
        <v>0.5357142857142857</v>
      </c>
      <c r="AE56" s="144">
        <f t="shared" si="23"/>
        <v>0.25</v>
      </c>
      <c r="AF56" s="146">
        <f t="shared" si="24"/>
        <v>0.43857142857142861</v>
      </c>
      <c r="AG56" s="34" t="b">
        <v>0</v>
      </c>
      <c r="AH56" s="34" t="b">
        <v>1</v>
      </c>
      <c r="AI56" s="34" t="b">
        <v>0</v>
      </c>
      <c r="AJ56" s="34" t="b">
        <v>0</v>
      </c>
      <c r="AK56" s="71" t="s">
        <v>190</v>
      </c>
      <c r="AL56" s="43">
        <v>-999</v>
      </c>
      <c r="AM56" s="56">
        <f t="shared" si="25"/>
        <v>-999</v>
      </c>
      <c r="AN56" s="149">
        <f t="shared" si="45"/>
        <v>-999</v>
      </c>
      <c r="AO56" s="43">
        <v>-999</v>
      </c>
      <c r="AP56" s="56">
        <f t="shared" si="26"/>
        <v>-999</v>
      </c>
      <c r="AQ56" s="149">
        <f t="shared" si="27"/>
        <v>-999</v>
      </c>
      <c r="AR56" s="43">
        <v>-999</v>
      </c>
      <c r="AS56" s="56">
        <f t="shared" si="28"/>
        <v>-999</v>
      </c>
      <c r="AT56" s="149">
        <f t="shared" si="29"/>
        <v>-999</v>
      </c>
      <c r="AU56" s="43">
        <v>-999</v>
      </c>
      <c r="AV56" s="56">
        <f t="shared" si="30"/>
        <v>-999</v>
      </c>
      <c r="AW56" s="149">
        <f t="shared" si="31"/>
        <v>-999</v>
      </c>
      <c r="AX56" s="43">
        <v>-999</v>
      </c>
      <c r="AY56" s="56">
        <f t="shared" si="32"/>
        <v>-999</v>
      </c>
      <c r="AZ56" s="149">
        <f t="shared" si="33"/>
        <v>-999</v>
      </c>
      <c r="BA56" s="77">
        <v>12.9</v>
      </c>
      <c r="BB56" s="56">
        <f t="shared" si="34"/>
        <v>0.6974256931047188</v>
      </c>
      <c r="BC56" s="55">
        <f t="shared" si="35"/>
        <v>297.99</v>
      </c>
      <c r="BD56" s="56">
        <v>-999</v>
      </c>
      <c r="BE56" s="43">
        <v>-999</v>
      </c>
      <c r="BF56" s="43">
        <v>-999</v>
      </c>
      <c r="BG56" s="43">
        <v>-999</v>
      </c>
      <c r="BH56" s="43">
        <v>-999</v>
      </c>
      <c r="BI56" s="77">
        <v>-999</v>
      </c>
      <c r="BJ56" s="81">
        <f t="shared" si="36"/>
        <v>-999</v>
      </c>
      <c r="BK56" s="56">
        <f t="shared" si="37"/>
        <v>-999</v>
      </c>
      <c r="BL56" s="138">
        <v>-999</v>
      </c>
      <c r="BM56" s="43">
        <v>-999</v>
      </c>
      <c r="BN56" s="43">
        <v>-999</v>
      </c>
      <c r="BO56" s="43">
        <v>-999</v>
      </c>
      <c r="BP56" s="43">
        <v>-999</v>
      </c>
      <c r="BQ56" s="77">
        <v>-999</v>
      </c>
      <c r="BR56" s="81">
        <f t="shared" si="38"/>
        <v>-999</v>
      </c>
      <c r="BS56" s="56">
        <f t="shared" si="39"/>
        <v>-999</v>
      </c>
      <c r="BT56" s="71">
        <v>-999</v>
      </c>
      <c r="BU56" s="48">
        <v>-999</v>
      </c>
      <c r="BV56" s="56">
        <f t="shared" si="40"/>
        <v>-999</v>
      </c>
      <c r="BW56" s="48">
        <v>-999</v>
      </c>
      <c r="BX56" s="56">
        <f t="shared" si="41"/>
        <v>-999</v>
      </c>
      <c r="BY56" s="48">
        <v>-999</v>
      </c>
      <c r="BZ56" s="56">
        <f t="shared" si="42"/>
        <v>-999</v>
      </c>
      <c r="CA56" s="48">
        <v>-999</v>
      </c>
      <c r="CB56" s="56">
        <f t="shared" si="43"/>
        <v>-999</v>
      </c>
      <c r="CC56" s="48">
        <v>-999</v>
      </c>
      <c r="CD56" s="56">
        <f t="shared" si="44"/>
        <v>-999</v>
      </c>
      <c r="CE56" s="55">
        <v>-999</v>
      </c>
      <c r="CF56" s="129" t="s">
        <v>556</v>
      </c>
      <c r="CG56" s="32" t="b">
        <v>0</v>
      </c>
      <c r="CH56" s="7" t="b">
        <v>0</v>
      </c>
    </row>
    <row r="57" spans="1:86" ht="21" customHeight="1">
      <c r="A57" s="10" t="s">
        <v>627</v>
      </c>
      <c r="B57" s="23" t="s">
        <v>490</v>
      </c>
      <c r="C57" s="38" t="s">
        <v>282</v>
      </c>
      <c r="D57" s="39" t="s">
        <v>283</v>
      </c>
      <c r="E57" s="38" t="s">
        <v>34</v>
      </c>
      <c r="F57">
        <v>5</v>
      </c>
      <c r="G57" s="38">
        <v>10926</v>
      </c>
      <c r="H57" s="38" t="s">
        <v>29</v>
      </c>
      <c r="I57" s="38" t="s">
        <v>286</v>
      </c>
      <c r="J57" t="s">
        <v>531</v>
      </c>
      <c r="K57" t="s">
        <v>527</v>
      </c>
      <c r="L57" s="48">
        <v>37.700000000000003</v>
      </c>
      <c r="M57" s="40">
        <v>43.3</v>
      </c>
      <c r="N57" s="40">
        <v>-999</v>
      </c>
      <c r="O57" s="40">
        <v>24.5</v>
      </c>
      <c r="P57" s="40">
        <v>126.3</v>
      </c>
      <c r="Q57" s="40">
        <v>78.5</v>
      </c>
      <c r="R57" s="40">
        <v>-999</v>
      </c>
      <c r="S57" s="96">
        <v>-999</v>
      </c>
      <c r="T57" s="112" t="s">
        <v>285</v>
      </c>
      <c r="U57" s="98">
        <v>-999</v>
      </c>
      <c r="V57" s="112" t="s">
        <v>284</v>
      </c>
      <c r="W57" s="98"/>
      <c r="X57" s="112">
        <v>-999</v>
      </c>
      <c r="Y57" s="98">
        <v>5.0999999999999996</v>
      </c>
      <c r="Z57" s="112">
        <v>-999</v>
      </c>
      <c r="AA57" s="98">
        <v>-999</v>
      </c>
      <c r="AB57" s="112">
        <v>-999</v>
      </c>
      <c r="AC57" s="63">
        <v>14</v>
      </c>
      <c r="AD57" s="132">
        <v>0.5</v>
      </c>
      <c r="AE57" s="144">
        <f t="shared" si="23"/>
        <v>0</v>
      </c>
      <c r="AF57" s="146">
        <f t="shared" si="24"/>
        <v>0.33</v>
      </c>
      <c r="AG57" s="29" t="b">
        <v>0</v>
      </c>
      <c r="AH57" s="29" t="b">
        <v>0</v>
      </c>
      <c r="AI57" s="29" t="b">
        <v>0</v>
      </c>
      <c r="AJ57" s="29" t="b">
        <v>0</v>
      </c>
      <c r="AK57" s="73" t="s">
        <v>192</v>
      </c>
      <c r="AL57" s="48">
        <v>-999</v>
      </c>
      <c r="AM57" s="55">
        <f t="shared" si="25"/>
        <v>-999</v>
      </c>
      <c r="AN57" s="149">
        <f t="shared" si="45"/>
        <v>-999</v>
      </c>
      <c r="AO57" s="48">
        <v>-999</v>
      </c>
      <c r="AP57" s="55">
        <f t="shared" si="26"/>
        <v>-999</v>
      </c>
      <c r="AQ57" s="149">
        <f t="shared" si="27"/>
        <v>-999</v>
      </c>
      <c r="AR57" s="48">
        <v>-999</v>
      </c>
      <c r="AS57" s="55">
        <f t="shared" si="28"/>
        <v>-999</v>
      </c>
      <c r="AT57" s="149">
        <f t="shared" si="29"/>
        <v>-999</v>
      </c>
      <c r="AU57" s="48">
        <v>-999</v>
      </c>
      <c r="AV57" s="55">
        <f t="shared" si="30"/>
        <v>-999</v>
      </c>
      <c r="AW57" s="149">
        <f t="shared" si="31"/>
        <v>-999</v>
      </c>
      <c r="AX57" s="48">
        <v>-999</v>
      </c>
      <c r="AY57" s="55">
        <f t="shared" si="32"/>
        <v>-999</v>
      </c>
      <c r="AZ57" s="149">
        <f t="shared" si="33"/>
        <v>-999</v>
      </c>
      <c r="BA57" s="75">
        <v>5.9</v>
      </c>
      <c r="BB57" s="55">
        <f t="shared" si="34"/>
        <v>0.22541884459964895</v>
      </c>
      <c r="BC57" s="55">
        <f t="shared" si="35"/>
        <v>644.63400000000001</v>
      </c>
      <c r="BD57" s="55">
        <v>-999</v>
      </c>
      <c r="BE57" s="48">
        <v>-999</v>
      </c>
      <c r="BF57" s="48">
        <v>-999</v>
      </c>
      <c r="BG57" s="48">
        <v>-999</v>
      </c>
      <c r="BH57" s="48">
        <v>-999</v>
      </c>
      <c r="BI57" s="75">
        <v>-999</v>
      </c>
      <c r="BJ57" s="81">
        <f t="shared" si="36"/>
        <v>-999</v>
      </c>
      <c r="BK57" s="55">
        <f t="shared" si="37"/>
        <v>-999</v>
      </c>
      <c r="BL57" s="136">
        <v>-999</v>
      </c>
      <c r="BM57" s="48">
        <v>-999</v>
      </c>
      <c r="BN57" s="48">
        <v>-999</v>
      </c>
      <c r="BO57" s="48">
        <v>-999</v>
      </c>
      <c r="BP57" s="48">
        <v>-999</v>
      </c>
      <c r="BQ57" s="75">
        <v>-999</v>
      </c>
      <c r="BR57" s="81">
        <f t="shared" si="38"/>
        <v>-999</v>
      </c>
      <c r="BS57" s="55">
        <f t="shared" si="39"/>
        <v>-999</v>
      </c>
      <c r="BT57" s="136">
        <v>-999</v>
      </c>
      <c r="BU57" s="48">
        <v>-999</v>
      </c>
      <c r="BV57" s="55">
        <f t="shared" si="40"/>
        <v>-999</v>
      </c>
      <c r="BW57" s="48">
        <v>-999</v>
      </c>
      <c r="BX57" s="55">
        <f t="shared" si="41"/>
        <v>-999</v>
      </c>
      <c r="BY57" s="29">
        <v>-999</v>
      </c>
      <c r="BZ57" s="55">
        <f t="shared" si="42"/>
        <v>-999</v>
      </c>
      <c r="CA57" s="29">
        <v>-999</v>
      </c>
      <c r="CB57" s="55">
        <f t="shared" si="43"/>
        <v>-999</v>
      </c>
      <c r="CC57" s="29">
        <v>-999</v>
      </c>
      <c r="CD57" s="55">
        <f t="shared" si="44"/>
        <v>-999</v>
      </c>
      <c r="CE57" s="55">
        <v>-999</v>
      </c>
      <c r="CF57" s="155" t="s">
        <v>555</v>
      </c>
      <c r="CG57" s="32" t="b">
        <v>1</v>
      </c>
      <c r="CH57" s="10" t="b">
        <v>0</v>
      </c>
    </row>
    <row r="58" spans="1:86" ht="21" customHeight="1">
      <c r="A58" s="32" t="s">
        <v>628</v>
      </c>
      <c r="B58" s="23" t="s">
        <v>434</v>
      </c>
      <c r="C58" s="23" t="s">
        <v>173</v>
      </c>
      <c r="D58" s="24" t="s">
        <v>178</v>
      </c>
      <c r="E58" s="23" t="s">
        <v>34</v>
      </c>
      <c r="F58">
        <v>5</v>
      </c>
      <c r="G58" s="23">
        <v>10384</v>
      </c>
      <c r="H58" s="23" t="s">
        <v>29</v>
      </c>
      <c r="I58" s="23" t="s">
        <v>389</v>
      </c>
      <c r="J58" t="s">
        <v>522</v>
      </c>
      <c r="K58"/>
      <c r="L58" s="43">
        <v>57</v>
      </c>
      <c r="M58" s="26">
        <v>52.9</v>
      </c>
      <c r="N58" s="26">
        <v>-999</v>
      </c>
      <c r="O58" s="26">
        <v>23.1</v>
      </c>
      <c r="P58" s="26">
        <v>133.4</v>
      </c>
      <c r="Q58" s="26">
        <v>78.8</v>
      </c>
      <c r="R58" s="26">
        <v>-999</v>
      </c>
      <c r="S58" s="96">
        <v>-999</v>
      </c>
      <c r="T58" s="97" t="s">
        <v>46</v>
      </c>
      <c r="U58" s="98">
        <v>-999</v>
      </c>
      <c r="V58" s="97" t="s">
        <v>48</v>
      </c>
      <c r="W58" s="98">
        <v>8.65</v>
      </c>
      <c r="X58" s="97" t="s">
        <v>183</v>
      </c>
      <c r="Y58" s="105">
        <v>-999</v>
      </c>
      <c r="Z58" s="97">
        <v>-999</v>
      </c>
      <c r="AA58" s="98">
        <v>-999</v>
      </c>
      <c r="AB58" s="97">
        <v>-999</v>
      </c>
      <c r="AC58" s="63">
        <v>19</v>
      </c>
      <c r="AD58" s="131">
        <f>AC58/28</f>
        <v>0.6785714285714286</v>
      </c>
      <c r="AE58" s="144">
        <f t="shared" si="23"/>
        <v>0.25</v>
      </c>
      <c r="AF58" s="146">
        <f t="shared" si="24"/>
        <v>0.53285714285714292</v>
      </c>
      <c r="AG58" s="28" t="b">
        <v>0</v>
      </c>
      <c r="AH58" s="28" t="b">
        <v>1</v>
      </c>
      <c r="AI58" s="28" t="b">
        <v>0</v>
      </c>
      <c r="AJ58" s="28" t="b">
        <v>0</v>
      </c>
      <c r="AK58" s="71" t="s">
        <v>190</v>
      </c>
      <c r="AL58" s="48">
        <v>5</v>
      </c>
      <c r="AM58" s="44">
        <f t="shared" si="25"/>
        <v>0.21387718780597068</v>
      </c>
      <c r="AN58" s="149">
        <f t="shared" si="45"/>
        <v>519.20000000000005</v>
      </c>
      <c r="AO58" s="48">
        <v>3.11</v>
      </c>
      <c r="AP58" s="44">
        <f t="shared" si="26"/>
        <v>0.17034811520645413</v>
      </c>
      <c r="AQ58" s="149">
        <f t="shared" si="27"/>
        <v>322.94239999999996</v>
      </c>
      <c r="AR58" s="48">
        <v>1.7</v>
      </c>
      <c r="AS58" s="44">
        <f t="shared" si="28"/>
        <v>0.12685829785621786</v>
      </c>
      <c r="AT58" s="149">
        <f t="shared" si="29"/>
        <v>176.52800000000002</v>
      </c>
      <c r="AU58" s="48">
        <v>0.12</v>
      </c>
      <c r="AV58" s="44">
        <f t="shared" si="30"/>
        <v>3.3974067877361895E-2</v>
      </c>
      <c r="AW58" s="149">
        <f t="shared" si="31"/>
        <v>12.460799999999999</v>
      </c>
      <c r="AX58" s="48">
        <v>0</v>
      </c>
      <c r="AY58" s="44">
        <f t="shared" si="32"/>
        <v>0</v>
      </c>
      <c r="AZ58" s="149">
        <f t="shared" si="33"/>
        <v>0</v>
      </c>
      <c r="BA58" s="75">
        <v>9.8800000000000008</v>
      </c>
      <c r="BB58" s="44">
        <f t="shared" si="34"/>
        <v>0.29282403725628359</v>
      </c>
      <c r="BC58" s="55">
        <f t="shared" si="35"/>
        <v>1025.9392</v>
      </c>
      <c r="BD58" s="55">
        <v>-999</v>
      </c>
      <c r="BE58" s="48">
        <v>-999</v>
      </c>
      <c r="BF58" s="48">
        <v>-999</v>
      </c>
      <c r="BG58" s="48">
        <v>-999</v>
      </c>
      <c r="BH58" s="48">
        <v>-999</v>
      </c>
      <c r="BI58" s="75">
        <v>-999</v>
      </c>
      <c r="BJ58" s="81">
        <f t="shared" si="36"/>
        <v>-999</v>
      </c>
      <c r="BK58" s="44">
        <f t="shared" si="37"/>
        <v>-999</v>
      </c>
      <c r="BL58" s="136">
        <v>-999</v>
      </c>
      <c r="BM58" s="48">
        <v>-999</v>
      </c>
      <c r="BN58" s="48">
        <v>-999</v>
      </c>
      <c r="BO58" s="48">
        <v>-999</v>
      </c>
      <c r="BP58" s="48">
        <v>-999</v>
      </c>
      <c r="BQ58" s="75">
        <v>-999</v>
      </c>
      <c r="BR58" s="81">
        <f t="shared" si="38"/>
        <v>-999</v>
      </c>
      <c r="BS58" s="44">
        <f t="shared" si="39"/>
        <v>-999</v>
      </c>
      <c r="BT58" s="71">
        <v>-999</v>
      </c>
      <c r="BU58" s="48">
        <v>-999</v>
      </c>
      <c r="BV58" s="44">
        <f t="shared" si="40"/>
        <v>-999</v>
      </c>
      <c r="BW58" s="48">
        <v>-999</v>
      </c>
      <c r="BX58" s="44">
        <f t="shared" si="41"/>
        <v>-999</v>
      </c>
      <c r="BY58" s="48">
        <v>-999</v>
      </c>
      <c r="BZ58" s="44">
        <f t="shared" si="42"/>
        <v>-999</v>
      </c>
      <c r="CA58" s="48">
        <v>-999</v>
      </c>
      <c r="CB58" s="44">
        <f t="shared" si="43"/>
        <v>-999</v>
      </c>
      <c r="CC58" s="48">
        <v>-999</v>
      </c>
      <c r="CD58" s="44">
        <f t="shared" si="44"/>
        <v>-999</v>
      </c>
      <c r="CE58" s="55">
        <v>-999</v>
      </c>
      <c r="CF58" s="129" t="s">
        <v>556</v>
      </c>
      <c r="CG58" s="32" t="b">
        <v>1</v>
      </c>
      <c r="CH58" s="13" t="b">
        <v>1</v>
      </c>
    </row>
    <row r="59" spans="1:86" ht="21" customHeight="1">
      <c r="A59" s="10" t="s">
        <v>674</v>
      </c>
      <c r="B59" s="25" t="s">
        <v>435</v>
      </c>
      <c r="C59" s="7" t="s">
        <v>59</v>
      </c>
      <c r="D59" s="8" t="s">
        <v>37</v>
      </c>
      <c r="E59" s="7" t="s">
        <v>34</v>
      </c>
      <c r="F59">
        <v>5</v>
      </c>
      <c r="G59" s="7">
        <v>1186</v>
      </c>
      <c r="H59" s="7" t="s">
        <v>45</v>
      </c>
      <c r="I59" s="25" t="s">
        <v>406</v>
      </c>
      <c r="J59" t="s">
        <v>526</v>
      </c>
      <c r="K59"/>
      <c r="L59" s="44">
        <v>-999</v>
      </c>
      <c r="M59" s="9">
        <v>49.4</v>
      </c>
      <c r="N59" s="9">
        <v>57.3</v>
      </c>
      <c r="O59" s="9">
        <v>23</v>
      </c>
      <c r="P59" s="9">
        <v>128.6</v>
      </c>
      <c r="Q59" s="9">
        <v>81.599999999999994</v>
      </c>
      <c r="R59" s="9">
        <v>62.2</v>
      </c>
      <c r="S59" s="121">
        <v>4.5</v>
      </c>
      <c r="T59" s="110" t="s">
        <v>41</v>
      </c>
      <c r="U59" s="121">
        <v>22</v>
      </c>
      <c r="V59" s="110" t="s">
        <v>60</v>
      </c>
      <c r="W59" s="121">
        <v>7.1</v>
      </c>
      <c r="X59" s="110" t="s">
        <v>61</v>
      </c>
      <c r="Y59" s="121">
        <v>-999</v>
      </c>
      <c r="Z59" s="110">
        <v>-999</v>
      </c>
      <c r="AA59" s="121">
        <v>29.299999999999997</v>
      </c>
      <c r="AB59" s="110">
        <v>-999</v>
      </c>
      <c r="AC59" s="64">
        <v>21</v>
      </c>
      <c r="AD59" s="131">
        <f>AC59/28</f>
        <v>0.75</v>
      </c>
      <c r="AE59" s="144">
        <f t="shared" si="23"/>
        <v>0.25</v>
      </c>
      <c r="AF59" s="146">
        <f t="shared" si="24"/>
        <v>0.57999999999999996</v>
      </c>
      <c r="AG59" s="9" t="b">
        <v>0</v>
      </c>
      <c r="AH59" s="9" t="b">
        <v>1</v>
      </c>
      <c r="AI59" s="9" t="b">
        <v>0</v>
      </c>
      <c r="AJ59" s="9" t="b">
        <v>0</v>
      </c>
      <c r="AK59" s="71" t="s">
        <v>190</v>
      </c>
      <c r="AL59" s="44">
        <v>-999</v>
      </c>
      <c r="AM59" s="44">
        <f t="shared" si="25"/>
        <v>-999</v>
      </c>
      <c r="AN59" s="149">
        <f t="shared" si="45"/>
        <v>-999</v>
      </c>
      <c r="AO59" s="44">
        <v>-999</v>
      </c>
      <c r="AP59" s="44">
        <f t="shared" si="26"/>
        <v>-999</v>
      </c>
      <c r="AQ59" s="149">
        <f t="shared" si="27"/>
        <v>-999</v>
      </c>
      <c r="AR59" s="44">
        <v>-999</v>
      </c>
      <c r="AS59" s="44">
        <f t="shared" si="28"/>
        <v>-999</v>
      </c>
      <c r="AT59" s="149">
        <f t="shared" si="29"/>
        <v>-999</v>
      </c>
      <c r="AU59" s="44">
        <v>-999</v>
      </c>
      <c r="AV59" s="44">
        <f t="shared" si="30"/>
        <v>-999</v>
      </c>
      <c r="AW59" s="149">
        <f t="shared" si="31"/>
        <v>-999</v>
      </c>
      <c r="AX59" s="44">
        <v>-999</v>
      </c>
      <c r="AY59" s="44">
        <f t="shared" si="32"/>
        <v>-999</v>
      </c>
      <c r="AZ59" s="149">
        <f t="shared" si="33"/>
        <v>-999</v>
      </c>
      <c r="BA59" s="81">
        <v>13.6</v>
      </c>
      <c r="BB59" s="44">
        <f t="shared" si="34"/>
        <v>0.99536870218445395</v>
      </c>
      <c r="BC59" s="55">
        <f t="shared" si="35"/>
        <v>161.29600000000002</v>
      </c>
      <c r="BD59" s="44">
        <v>-999</v>
      </c>
      <c r="BE59" s="44">
        <v>-999</v>
      </c>
      <c r="BF59" s="44">
        <v>-999</v>
      </c>
      <c r="BG59" s="44">
        <v>-999</v>
      </c>
      <c r="BH59" s="44">
        <v>-999</v>
      </c>
      <c r="BI59" s="81">
        <v>-999</v>
      </c>
      <c r="BJ59" s="81">
        <f t="shared" si="36"/>
        <v>-999</v>
      </c>
      <c r="BK59" s="44">
        <f t="shared" si="37"/>
        <v>-999</v>
      </c>
      <c r="BL59" s="137">
        <v>-999</v>
      </c>
      <c r="BM59" s="44">
        <v>-999</v>
      </c>
      <c r="BN59" s="44">
        <v>-999</v>
      </c>
      <c r="BO59" s="44">
        <v>-999</v>
      </c>
      <c r="BP59" s="44">
        <v>-999</v>
      </c>
      <c r="BQ59" s="81">
        <v>-999</v>
      </c>
      <c r="BR59" s="81">
        <f t="shared" si="38"/>
        <v>-999</v>
      </c>
      <c r="BS59" s="44">
        <f t="shared" si="39"/>
        <v>-999</v>
      </c>
      <c r="BT59" s="71">
        <v>-999</v>
      </c>
      <c r="BU59" s="55">
        <v>-999</v>
      </c>
      <c r="BV59" s="44">
        <f t="shared" si="40"/>
        <v>-999</v>
      </c>
      <c r="BW59" s="55">
        <v>-999</v>
      </c>
      <c r="BX59" s="44">
        <f t="shared" si="41"/>
        <v>-999</v>
      </c>
      <c r="BY59" s="55">
        <v>-999</v>
      </c>
      <c r="BZ59" s="44">
        <f t="shared" si="42"/>
        <v>-999</v>
      </c>
      <c r="CA59" s="55">
        <v>-999</v>
      </c>
      <c r="CB59" s="44">
        <f t="shared" si="43"/>
        <v>-999</v>
      </c>
      <c r="CC59" s="55">
        <v>-999</v>
      </c>
      <c r="CD59" s="44">
        <f t="shared" si="44"/>
        <v>-999</v>
      </c>
      <c r="CE59" s="55">
        <v>-999</v>
      </c>
      <c r="CF59" s="155" t="s">
        <v>556</v>
      </c>
      <c r="CG59" s="32" t="b">
        <v>1</v>
      </c>
      <c r="CH59" s="7" t="b">
        <v>1</v>
      </c>
    </row>
    <row r="60" spans="1:86" ht="21" customHeight="1">
      <c r="A60" s="32" t="s">
        <v>629</v>
      </c>
      <c r="B60" s="23" t="s">
        <v>491</v>
      </c>
      <c r="C60" s="30" t="s">
        <v>287</v>
      </c>
      <c r="D60" s="83">
        <v>2006</v>
      </c>
      <c r="E60" s="84" t="s">
        <v>109</v>
      </c>
      <c r="F60">
        <v>4</v>
      </c>
      <c r="G60" s="84">
        <v>18922</v>
      </c>
      <c r="H60" s="84" t="s">
        <v>29</v>
      </c>
      <c r="I60" s="84" t="s">
        <v>233</v>
      </c>
      <c r="J60" t="s">
        <v>531</v>
      </c>
      <c r="K60"/>
      <c r="L60" s="55">
        <v>57.1</v>
      </c>
      <c r="M60" s="29">
        <v>60</v>
      </c>
      <c r="N60" s="29">
        <v>-999</v>
      </c>
      <c r="O60" s="29">
        <v>-999</v>
      </c>
      <c r="P60" s="29">
        <v>-999</v>
      </c>
      <c r="Q60" s="29">
        <v>-999</v>
      </c>
      <c r="R60" s="29">
        <v>85.7</v>
      </c>
      <c r="S60" s="96">
        <v>-999</v>
      </c>
      <c r="T60" s="120">
        <v>-999</v>
      </c>
      <c r="U60" s="119">
        <v>-999</v>
      </c>
      <c r="V60" s="120">
        <v>-999</v>
      </c>
      <c r="W60" s="119">
        <v>-999</v>
      </c>
      <c r="X60" s="120">
        <v>-999</v>
      </c>
      <c r="Y60" s="119">
        <v>-999</v>
      </c>
      <c r="Z60" s="120">
        <v>-999</v>
      </c>
      <c r="AA60" s="119">
        <v>-999</v>
      </c>
      <c r="AB60" s="120">
        <v>-999</v>
      </c>
      <c r="AC60" s="63">
        <v>16</v>
      </c>
      <c r="AD60" s="132">
        <v>0.5714285714285714</v>
      </c>
      <c r="AE60" s="144">
        <f t="shared" si="23"/>
        <v>0.25</v>
      </c>
      <c r="AF60" s="146">
        <f t="shared" si="24"/>
        <v>0.46214285714285713</v>
      </c>
      <c r="AG60" s="29" t="b">
        <v>0</v>
      </c>
      <c r="AH60" s="29" t="b">
        <v>1</v>
      </c>
      <c r="AI60" s="29" t="b">
        <v>0</v>
      </c>
      <c r="AJ60" s="29" t="b">
        <v>0</v>
      </c>
      <c r="AK60" s="73" t="s">
        <v>190</v>
      </c>
      <c r="AL60" s="55">
        <v>-999</v>
      </c>
      <c r="AM60" s="55">
        <f t="shared" si="25"/>
        <v>-999</v>
      </c>
      <c r="AN60" s="149">
        <f t="shared" si="45"/>
        <v>-999</v>
      </c>
      <c r="AO60" s="55">
        <v>-999</v>
      </c>
      <c r="AP60" s="55">
        <f t="shared" si="26"/>
        <v>-999</v>
      </c>
      <c r="AQ60" s="149">
        <f t="shared" si="27"/>
        <v>-999</v>
      </c>
      <c r="AR60" s="55">
        <v>15.7</v>
      </c>
      <c r="AS60" s="55">
        <f t="shared" si="28"/>
        <v>0.26447224052407009</v>
      </c>
      <c r="AT60" s="149">
        <f t="shared" si="29"/>
        <v>2970.7539999999999</v>
      </c>
      <c r="AU60" s="55">
        <v>0.6</v>
      </c>
      <c r="AV60" s="55">
        <f t="shared" si="30"/>
        <v>5.6141666280389392E-2</v>
      </c>
      <c r="AW60" s="149">
        <f t="shared" si="31"/>
        <v>113.532</v>
      </c>
      <c r="AX60" s="55">
        <v>0.1</v>
      </c>
      <c r="AY60" s="55">
        <f t="shared" si="32"/>
        <v>2.2977312192563909E-2</v>
      </c>
      <c r="AZ60" s="149">
        <f t="shared" si="33"/>
        <v>18.922000000000001</v>
      </c>
      <c r="BA60" s="75">
        <v>16.399999999999999</v>
      </c>
      <c r="BB60" s="55">
        <f t="shared" si="34"/>
        <v>0.26917922826333213</v>
      </c>
      <c r="BC60" s="55">
        <f t="shared" si="35"/>
        <v>3103.2079999999996</v>
      </c>
      <c r="BD60" s="55">
        <v>-999</v>
      </c>
      <c r="BE60" s="55">
        <v>-999</v>
      </c>
      <c r="BF60" s="55">
        <v>12.3</v>
      </c>
      <c r="BG60" s="55">
        <v>0.5</v>
      </c>
      <c r="BH60" s="55">
        <v>0.1</v>
      </c>
      <c r="BI60" s="75">
        <v>12.9</v>
      </c>
      <c r="BJ60" s="81">
        <f t="shared" si="36"/>
        <v>2440.9380000000001</v>
      </c>
      <c r="BK60" s="55">
        <f t="shared" si="37"/>
        <v>0.24368029602657493</v>
      </c>
      <c r="BL60" s="136">
        <v>-999</v>
      </c>
      <c r="BM60" s="55">
        <v>-999</v>
      </c>
      <c r="BN60" s="55">
        <v>18.3</v>
      </c>
      <c r="BO60" s="55">
        <v>0.1</v>
      </c>
      <c r="BP60" s="55">
        <v>0.1</v>
      </c>
      <c r="BQ60" s="75">
        <v>19.100000000000001</v>
      </c>
      <c r="BR60" s="81">
        <f t="shared" si="38"/>
        <v>3614.1019999999999</v>
      </c>
      <c r="BS60" s="55">
        <f t="shared" si="39"/>
        <v>0.28576394014900336</v>
      </c>
      <c r="BT60" s="136">
        <v>-999</v>
      </c>
      <c r="BU60" s="55">
        <v>-999</v>
      </c>
      <c r="BV60" s="55">
        <f t="shared" si="40"/>
        <v>-999</v>
      </c>
      <c r="BW60" s="55">
        <v>-999</v>
      </c>
      <c r="BX60" s="55">
        <f t="shared" si="41"/>
        <v>-999</v>
      </c>
      <c r="BY60" s="29">
        <v>-999</v>
      </c>
      <c r="BZ60" s="55">
        <f t="shared" si="42"/>
        <v>-999</v>
      </c>
      <c r="CA60" s="29">
        <v>-999</v>
      </c>
      <c r="CB60" s="55">
        <f t="shared" si="43"/>
        <v>-999</v>
      </c>
      <c r="CC60" s="29">
        <v>-999</v>
      </c>
      <c r="CD60" s="55">
        <f t="shared" si="44"/>
        <v>-999</v>
      </c>
      <c r="CE60" s="55">
        <v>-999</v>
      </c>
      <c r="CF60" s="155" t="s">
        <v>555</v>
      </c>
      <c r="CG60" s="32" t="b">
        <v>0</v>
      </c>
      <c r="CH60" s="10" t="b">
        <v>0</v>
      </c>
    </row>
    <row r="61" spans="1:86" ht="21" customHeight="1">
      <c r="A61" s="10" t="s">
        <v>630</v>
      </c>
      <c r="B61" s="23" t="s">
        <v>492</v>
      </c>
      <c r="C61" s="38" t="s">
        <v>288</v>
      </c>
      <c r="D61" s="39" t="s">
        <v>290</v>
      </c>
      <c r="E61" s="38" t="s">
        <v>34</v>
      </c>
      <c r="F61">
        <v>5</v>
      </c>
      <c r="G61" s="38">
        <v>2576</v>
      </c>
      <c r="H61" s="38" t="s">
        <v>23</v>
      </c>
      <c r="I61" s="38" t="s">
        <v>289</v>
      </c>
      <c r="J61" t="s">
        <v>524</v>
      </c>
      <c r="K61"/>
      <c r="L61" s="48">
        <v>47.4</v>
      </c>
      <c r="M61" s="40">
        <v>51</v>
      </c>
      <c r="N61" s="40">
        <v>-999</v>
      </c>
      <c r="O61" s="40">
        <v>24.7</v>
      </c>
      <c r="P61" s="40">
        <v>129.80000000000001</v>
      </c>
      <c r="Q61" s="40">
        <v>79.099999999999994</v>
      </c>
      <c r="R61" s="40">
        <v>61.2</v>
      </c>
      <c r="S61" s="96">
        <v>4.8</v>
      </c>
      <c r="T61" s="112" t="s">
        <v>291</v>
      </c>
      <c r="U61" s="98">
        <v>32.299999999999997</v>
      </c>
      <c r="V61" s="112" t="s">
        <v>284</v>
      </c>
      <c r="W61" s="98">
        <v>-999</v>
      </c>
      <c r="X61" s="112">
        <v>-999</v>
      </c>
      <c r="Y61" s="98">
        <v>-999</v>
      </c>
      <c r="Z61" s="112">
        <v>-999</v>
      </c>
      <c r="AA61" s="98">
        <v>14.5</v>
      </c>
      <c r="AB61" s="112">
        <v>-999</v>
      </c>
      <c r="AC61" s="63">
        <v>20</v>
      </c>
      <c r="AD61" s="132">
        <v>0.7142857142857143</v>
      </c>
      <c r="AE61" s="144">
        <f t="shared" si="23"/>
        <v>0.25</v>
      </c>
      <c r="AF61" s="146">
        <f t="shared" si="24"/>
        <v>0.55642857142857149</v>
      </c>
      <c r="AG61" s="29" t="b">
        <v>0</v>
      </c>
      <c r="AH61" s="29" t="b">
        <v>0</v>
      </c>
      <c r="AI61" s="29" t="b">
        <v>1</v>
      </c>
      <c r="AJ61" s="29" t="b">
        <v>0</v>
      </c>
      <c r="AK61" s="73" t="s">
        <v>190</v>
      </c>
      <c r="AL61" s="48">
        <v>4.8899999999999997</v>
      </c>
      <c r="AM61" s="55">
        <f t="shared" si="25"/>
        <v>0.42490769001167289</v>
      </c>
      <c r="AN61" s="149">
        <f t="shared" si="45"/>
        <v>125.96639999999999</v>
      </c>
      <c r="AO61" s="48">
        <v>2.68</v>
      </c>
      <c r="AP61" s="55">
        <f t="shared" si="26"/>
        <v>0.31819658754138352</v>
      </c>
      <c r="AQ61" s="149">
        <f t="shared" si="27"/>
        <v>69.036799999999999</v>
      </c>
      <c r="AR61" s="48">
        <v>2.2000000000000002</v>
      </c>
      <c r="AS61" s="55">
        <f t="shared" si="28"/>
        <v>0.28900665168901718</v>
      </c>
      <c r="AT61" s="149">
        <f t="shared" si="29"/>
        <v>56.672000000000004</v>
      </c>
      <c r="AU61" s="48">
        <v>0</v>
      </c>
      <c r="AV61" s="55">
        <f t="shared" si="30"/>
        <v>0</v>
      </c>
      <c r="AW61" s="149">
        <f t="shared" si="31"/>
        <v>0</v>
      </c>
      <c r="AX61" s="48">
        <v>0</v>
      </c>
      <c r="AY61" s="55">
        <f t="shared" si="32"/>
        <v>0</v>
      </c>
      <c r="AZ61" s="149">
        <f t="shared" si="33"/>
        <v>0</v>
      </c>
      <c r="BA61" s="75">
        <v>9.8000000000000007</v>
      </c>
      <c r="BB61" s="55">
        <f t="shared" si="34"/>
        <v>0.58579192032072569</v>
      </c>
      <c r="BC61" s="55">
        <f t="shared" si="35"/>
        <v>252.44800000000001</v>
      </c>
      <c r="BD61" s="55">
        <v>-999</v>
      </c>
      <c r="BE61" s="48">
        <v>-999</v>
      </c>
      <c r="BF61" s="48">
        <v>-999</v>
      </c>
      <c r="BG61" s="48">
        <v>-999</v>
      </c>
      <c r="BH61" s="48">
        <v>-999</v>
      </c>
      <c r="BI61" s="75">
        <v>9.5</v>
      </c>
      <c r="BJ61" s="81">
        <f t="shared" si="36"/>
        <v>244.72</v>
      </c>
      <c r="BK61" s="55">
        <f t="shared" si="37"/>
        <v>0.57771436020543721</v>
      </c>
      <c r="BL61" s="136">
        <v>-999</v>
      </c>
      <c r="BM61" s="48">
        <v>-999</v>
      </c>
      <c r="BN61" s="48">
        <v>-999</v>
      </c>
      <c r="BO61" s="48">
        <v>-999</v>
      </c>
      <c r="BP61" s="48">
        <v>-999</v>
      </c>
      <c r="BQ61" s="75">
        <v>10.1</v>
      </c>
      <c r="BR61" s="81">
        <f t="shared" si="38"/>
        <v>260.17599999999999</v>
      </c>
      <c r="BS61" s="55">
        <f t="shared" si="39"/>
        <v>0.59370075801039013</v>
      </c>
      <c r="BT61" s="73">
        <v>-999</v>
      </c>
      <c r="BU61" s="29">
        <v>-999</v>
      </c>
      <c r="BV61" s="55">
        <f t="shared" si="40"/>
        <v>-999</v>
      </c>
      <c r="BW61" s="29">
        <v>-999</v>
      </c>
      <c r="BX61" s="55">
        <f t="shared" si="41"/>
        <v>-999</v>
      </c>
      <c r="BY61" s="29">
        <v>-999</v>
      </c>
      <c r="BZ61" s="55">
        <f t="shared" si="42"/>
        <v>-999</v>
      </c>
      <c r="CA61" s="29">
        <v>-999</v>
      </c>
      <c r="CB61" s="55">
        <f t="shared" si="43"/>
        <v>-999</v>
      </c>
      <c r="CC61" s="29">
        <v>-999</v>
      </c>
      <c r="CD61" s="55">
        <f t="shared" si="44"/>
        <v>-999</v>
      </c>
      <c r="CE61" s="29">
        <v>-999</v>
      </c>
      <c r="CF61" s="155" t="s">
        <v>556</v>
      </c>
      <c r="CG61" s="32" t="b">
        <v>1</v>
      </c>
      <c r="CH61" s="10" t="b">
        <v>1</v>
      </c>
    </row>
    <row r="62" spans="1:86" ht="21" customHeight="1">
      <c r="A62" s="32" t="s">
        <v>631</v>
      </c>
      <c r="B62" s="23" t="s">
        <v>493</v>
      </c>
      <c r="C62" s="38" t="s">
        <v>292</v>
      </c>
      <c r="D62" s="39" t="s">
        <v>293</v>
      </c>
      <c r="E62" s="38" t="s">
        <v>226</v>
      </c>
      <c r="F62">
        <v>9</v>
      </c>
      <c r="G62" s="38">
        <v>860</v>
      </c>
      <c r="H62" s="38" t="s">
        <v>23</v>
      </c>
      <c r="I62" s="38" t="s">
        <v>294</v>
      </c>
      <c r="J62" t="s">
        <v>528</v>
      </c>
      <c r="K62"/>
      <c r="L62" s="48">
        <v>68.099999999999994</v>
      </c>
      <c r="M62" s="40">
        <v>35.299999999999997</v>
      </c>
      <c r="N62" s="40">
        <v>77.099999999999994</v>
      </c>
      <c r="O62" s="40">
        <v>28.3</v>
      </c>
      <c r="P62" s="40">
        <v>116.9</v>
      </c>
      <c r="Q62" s="40">
        <v>73.599999999999994</v>
      </c>
      <c r="R62" s="40">
        <v>-999</v>
      </c>
      <c r="S62" s="96">
        <v>-999</v>
      </c>
      <c r="T62" s="112">
        <v>-999</v>
      </c>
      <c r="U62" s="98">
        <v>-999</v>
      </c>
      <c r="V62" s="112">
        <v>-999</v>
      </c>
      <c r="W62" s="98">
        <v>14.8</v>
      </c>
      <c r="X62" s="112" t="s">
        <v>272</v>
      </c>
      <c r="Y62" s="98">
        <v>-999</v>
      </c>
      <c r="Z62" s="112">
        <v>-999</v>
      </c>
      <c r="AA62" s="98">
        <v>-999</v>
      </c>
      <c r="AB62" s="112">
        <v>-999</v>
      </c>
      <c r="AC62" s="63">
        <v>22</v>
      </c>
      <c r="AD62" s="132">
        <v>0.7857142857142857</v>
      </c>
      <c r="AE62" s="144">
        <f t="shared" si="23"/>
        <v>0.75</v>
      </c>
      <c r="AF62" s="146">
        <f t="shared" si="24"/>
        <v>0.77357142857142858</v>
      </c>
      <c r="AG62" s="29" t="b">
        <v>0</v>
      </c>
      <c r="AH62" s="29" t="b">
        <v>1</v>
      </c>
      <c r="AI62" s="29" t="b">
        <v>1</v>
      </c>
      <c r="AJ62" s="29" t="b">
        <v>1</v>
      </c>
      <c r="AK62" s="73" t="s">
        <v>190</v>
      </c>
      <c r="AL62" s="48">
        <v>-999</v>
      </c>
      <c r="AM62" s="55">
        <f t="shared" si="25"/>
        <v>-999</v>
      </c>
      <c r="AN62" s="149">
        <f t="shared" si="45"/>
        <v>-999</v>
      </c>
      <c r="AO62" s="48">
        <v>-999</v>
      </c>
      <c r="AP62" s="55">
        <f t="shared" si="26"/>
        <v>-999</v>
      </c>
      <c r="AQ62" s="149">
        <f t="shared" si="27"/>
        <v>-999</v>
      </c>
      <c r="AR62" s="48">
        <v>-999</v>
      </c>
      <c r="AS62" s="55">
        <f t="shared" si="28"/>
        <v>-999</v>
      </c>
      <c r="AT62" s="149">
        <f t="shared" si="29"/>
        <v>-999</v>
      </c>
      <c r="AU62" s="48">
        <v>-999</v>
      </c>
      <c r="AV62" s="55">
        <f t="shared" si="30"/>
        <v>-999</v>
      </c>
      <c r="AW62" s="149">
        <f t="shared" si="31"/>
        <v>-999</v>
      </c>
      <c r="AX62" s="48">
        <v>-999</v>
      </c>
      <c r="AY62" s="55">
        <f t="shared" si="32"/>
        <v>-999</v>
      </c>
      <c r="AZ62" s="149">
        <f t="shared" si="33"/>
        <v>-999</v>
      </c>
      <c r="BA62" s="75">
        <v>16.5</v>
      </c>
      <c r="BB62" s="55">
        <f t="shared" si="34"/>
        <v>1.265715166900093</v>
      </c>
      <c r="BC62" s="55">
        <f t="shared" si="35"/>
        <v>141.9</v>
      </c>
      <c r="BD62" s="55">
        <v>-999</v>
      </c>
      <c r="BE62" s="48">
        <v>-999</v>
      </c>
      <c r="BF62" s="48">
        <v>-999</v>
      </c>
      <c r="BG62" s="48">
        <v>-999</v>
      </c>
      <c r="BH62" s="48">
        <v>-999</v>
      </c>
      <c r="BI62" s="75">
        <v>-999</v>
      </c>
      <c r="BJ62" s="81">
        <f t="shared" si="36"/>
        <v>-999</v>
      </c>
      <c r="BK62" s="55">
        <f t="shared" si="37"/>
        <v>-999</v>
      </c>
      <c r="BL62" s="136">
        <v>-999</v>
      </c>
      <c r="BM62" s="48">
        <v>-999</v>
      </c>
      <c r="BN62" s="48">
        <v>-999</v>
      </c>
      <c r="BO62" s="48">
        <v>-999</v>
      </c>
      <c r="BP62" s="48">
        <v>-999</v>
      </c>
      <c r="BQ62" s="75">
        <v>-999</v>
      </c>
      <c r="BR62" s="81">
        <f t="shared" si="38"/>
        <v>-999</v>
      </c>
      <c r="BS62" s="55">
        <f t="shared" si="39"/>
        <v>-999</v>
      </c>
      <c r="BT62" s="73">
        <v>-999</v>
      </c>
      <c r="BU62" s="29">
        <v>-999</v>
      </c>
      <c r="BV62" s="55">
        <f t="shared" si="40"/>
        <v>-999</v>
      </c>
      <c r="BW62" s="29">
        <v>-999</v>
      </c>
      <c r="BX62" s="55">
        <f t="shared" si="41"/>
        <v>-999</v>
      </c>
      <c r="BY62" s="29">
        <v>-999</v>
      </c>
      <c r="BZ62" s="55">
        <f t="shared" si="42"/>
        <v>-999</v>
      </c>
      <c r="CA62" s="29">
        <v>-999</v>
      </c>
      <c r="CB62" s="55">
        <f t="shared" si="43"/>
        <v>-999</v>
      </c>
      <c r="CC62" s="29">
        <v>-999</v>
      </c>
      <c r="CD62" s="55">
        <f t="shared" si="44"/>
        <v>-999</v>
      </c>
      <c r="CE62" s="29">
        <v>-999</v>
      </c>
      <c r="CF62" s="155" t="s">
        <v>556</v>
      </c>
      <c r="CG62" s="32" t="b">
        <v>1</v>
      </c>
      <c r="CH62" s="10" t="b">
        <v>0</v>
      </c>
    </row>
    <row r="63" spans="1:86" ht="21" customHeight="1">
      <c r="A63" s="32" t="s">
        <v>675</v>
      </c>
      <c r="B63" s="25" t="s">
        <v>436</v>
      </c>
      <c r="C63" s="7" t="s">
        <v>103</v>
      </c>
      <c r="D63" s="8" t="s">
        <v>104</v>
      </c>
      <c r="E63" s="7" t="s">
        <v>105</v>
      </c>
      <c r="F63">
        <v>7</v>
      </c>
      <c r="G63" s="7">
        <v>1202</v>
      </c>
      <c r="H63" s="7" t="s">
        <v>23</v>
      </c>
      <c r="I63" s="25" t="s">
        <v>407</v>
      </c>
      <c r="J63" t="s">
        <v>524</v>
      </c>
      <c r="K63"/>
      <c r="L63" s="44">
        <v>75.3</v>
      </c>
      <c r="M63" s="9">
        <v>52.9</v>
      </c>
      <c r="N63" s="9">
        <v>-999</v>
      </c>
      <c r="O63" s="9">
        <v>29.9</v>
      </c>
      <c r="P63" s="9">
        <v>125</v>
      </c>
      <c r="Q63" s="9">
        <v>76</v>
      </c>
      <c r="R63" s="9">
        <v>-999</v>
      </c>
      <c r="S63" s="100">
        <v>26.400000000000002</v>
      </c>
      <c r="T63" s="110" t="s">
        <v>35</v>
      </c>
      <c r="U63" s="121">
        <v>-999</v>
      </c>
      <c r="V63" s="110" t="s">
        <v>48</v>
      </c>
      <c r="W63" s="121">
        <v>-999</v>
      </c>
      <c r="X63" s="110">
        <v>-999</v>
      </c>
      <c r="Y63" s="121">
        <v>-999</v>
      </c>
      <c r="Z63" s="110">
        <v>-999</v>
      </c>
      <c r="AA63" s="121">
        <v>40.5</v>
      </c>
      <c r="AB63" s="110">
        <v>-999</v>
      </c>
      <c r="AC63" s="64">
        <v>21</v>
      </c>
      <c r="AD63" s="131">
        <f>AC63/28</f>
        <v>0.75</v>
      </c>
      <c r="AE63" s="144">
        <f t="shared" si="23"/>
        <v>0</v>
      </c>
      <c r="AF63" s="146">
        <f t="shared" si="24"/>
        <v>0.495</v>
      </c>
      <c r="AG63" s="9" t="b">
        <v>0</v>
      </c>
      <c r="AH63" s="9" t="b">
        <v>0</v>
      </c>
      <c r="AI63" s="9" t="b">
        <v>0</v>
      </c>
      <c r="AJ63" s="9" t="b">
        <v>0</v>
      </c>
      <c r="AK63" s="71" t="s">
        <v>190</v>
      </c>
      <c r="AL63" s="44">
        <v>-999</v>
      </c>
      <c r="AM63" s="44">
        <f t="shared" si="25"/>
        <v>-999</v>
      </c>
      <c r="AN63" s="149">
        <f t="shared" si="45"/>
        <v>-999</v>
      </c>
      <c r="AO63" s="44">
        <v>-999</v>
      </c>
      <c r="AP63" s="44">
        <f t="shared" si="26"/>
        <v>-999</v>
      </c>
      <c r="AQ63" s="149">
        <f t="shared" si="27"/>
        <v>-999</v>
      </c>
      <c r="AR63" s="44">
        <v>-999</v>
      </c>
      <c r="AS63" s="44">
        <f t="shared" si="28"/>
        <v>-999</v>
      </c>
      <c r="AT63" s="149">
        <f t="shared" si="29"/>
        <v>-999</v>
      </c>
      <c r="AU63" s="44">
        <v>-999</v>
      </c>
      <c r="AV63" s="44">
        <f t="shared" si="30"/>
        <v>-999</v>
      </c>
      <c r="AW63" s="149">
        <f t="shared" si="31"/>
        <v>-999</v>
      </c>
      <c r="AX63" s="44">
        <v>-999</v>
      </c>
      <c r="AY63" s="44">
        <f t="shared" si="32"/>
        <v>-999</v>
      </c>
      <c r="AZ63" s="149">
        <f t="shared" si="33"/>
        <v>-999</v>
      </c>
      <c r="BA63" s="76">
        <v>7.6</v>
      </c>
      <c r="BB63" s="44">
        <f t="shared" si="34"/>
        <v>0.76434696932575774</v>
      </c>
      <c r="BC63" s="55">
        <f t="shared" si="35"/>
        <v>91.352000000000004</v>
      </c>
      <c r="BD63" s="44">
        <v>-999</v>
      </c>
      <c r="BE63" s="44">
        <v>-999</v>
      </c>
      <c r="BF63" s="44">
        <v>-999</v>
      </c>
      <c r="BG63" s="44">
        <v>-999</v>
      </c>
      <c r="BH63" s="44">
        <v>-999</v>
      </c>
      <c r="BI63" s="76">
        <v>5</v>
      </c>
      <c r="BJ63" s="81">
        <f t="shared" si="36"/>
        <v>60.1</v>
      </c>
      <c r="BK63" s="44">
        <f t="shared" si="37"/>
        <v>0.62862923000655613</v>
      </c>
      <c r="BL63" s="137">
        <v>-999</v>
      </c>
      <c r="BM63" s="44">
        <v>-999</v>
      </c>
      <c r="BN63" s="44">
        <v>-999</v>
      </c>
      <c r="BO63" s="44">
        <v>-999</v>
      </c>
      <c r="BP63" s="44">
        <v>-999</v>
      </c>
      <c r="BQ63" s="76">
        <v>8.5</v>
      </c>
      <c r="BR63" s="81">
        <f t="shared" si="38"/>
        <v>102.17</v>
      </c>
      <c r="BS63" s="44">
        <f t="shared" si="39"/>
        <v>0.80439206175738875</v>
      </c>
      <c r="BT63" s="71">
        <v>-999</v>
      </c>
      <c r="BU63" s="55">
        <v>-999</v>
      </c>
      <c r="BV63" s="44">
        <f t="shared" si="40"/>
        <v>-999</v>
      </c>
      <c r="BW63" s="55">
        <v>-999</v>
      </c>
      <c r="BX63" s="44">
        <f t="shared" si="41"/>
        <v>-999</v>
      </c>
      <c r="BY63" s="55">
        <v>-999</v>
      </c>
      <c r="BZ63" s="44">
        <f t="shared" si="42"/>
        <v>-999</v>
      </c>
      <c r="CA63" s="55">
        <v>-999</v>
      </c>
      <c r="CB63" s="44">
        <f t="shared" si="43"/>
        <v>-999</v>
      </c>
      <c r="CC63" s="55">
        <v>-999</v>
      </c>
      <c r="CD63" s="44">
        <f t="shared" si="44"/>
        <v>-999</v>
      </c>
      <c r="CE63" s="55">
        <v>-999</v>
      </c>
      <c r="CF63" s="129" t="s">
        <v>555</v>
      </c>
      <c r="CG63" s="32" t="b">
        <v>1</v>
      </c>
      <c r="CH63" s="7" t="b">
        <v>0</v>
      </c>
    </row>
    <row r="64" spans="1:86" ht="21" customHeight="1">
      <c r="A64" s="10" t="s">
        <v>632</v>
      </c>
      <c r="B64" s="23" t="s">
        <v>494</v>
      </c>
      <c r="C64" s="19" t="s">
        <v>295</v>
      </c>
      <c r="D64" s="36">
        <v>2003</v>
      </c>
      <c r="E64" s="19" t="s">
        <v>177</v>
      </c>
      <c r="F64">
        <v>4</v>
      </c>
      <c r="G64" s="19">
        <v>77630</v>
      </c>
      <c r="H64" s="19" t="s">
        <v>29</v>
      </c>
      <c r="I64" s="19" t="s">
        <v>296</v>
      </c>
      <c r="J64" t="s">
        <v>531</v>
      </c>
      <c r="K64"/>
      <c r="L64" s="47">
        <v>52.8</v>
      </c>
      <c r="M64" s="37">
        <v>-999</v>
      </c>
      <c r="N64" s="37">
        <v>-999</v>
      </c>
      <c r="O64" s="37">
        <v>-999</v>
      </c>
      <c r="P64" s="37">
        <v>-999</v>
      </c>
      <c r="Q64" s="37">
        <v>-999</v>
      </c>
      <c r="R64" s="37">
        <v>-999</v>
      </c>
      <c r="S64" s="111">
        <v>-999</v>
      </c>
      <c r="T64" s="112">
        <v>-999</v>
      </c>
      <c r="U64" s="113">
        <v>-999</v>
      </c>
      <c r="V64" s="112">
        <v>-999</v>
      </c>
      <c r="W64" s="113">
        <v>-999</v>
      </c>
      <c r="X64" s="112">
        <v>-999</v>
      </c>
      <c r="Y64" s="113">
        <v>-999</v>
      </c>
      <c r="Z64" s="112">
        <v>-999</v>
      </c>
      <c r="AA64" s="113">
        <v>-999</v>
      </c>
      <c r="AB64" s="112">
        <v>-999</v>
      </c>
      <c r="AC64" s="64">
        <v>23</v>
      </c>
      <c r="AD64" s="131">
        <v>0.8214285714285714</v>
      </c>
      <c r="AE64" s="144">
        <f t="shared" si="23"/>
        <v>0</v>
      </c>
      <c r="AF64" s="146">
        <f t="shared" si="24"/>
        <v>0.54214285714285715</v>
      </c>
      <c r="AG64" s="29" t="b">
        <v>0</v>
      </c>
      <c r="AH64" s="29" t="b">
        <v>0</v>
      </c>
      <c r="AI64" s="29" t="b">
        <v>0</v>
      </c>
      <c r="AJ64" s="29" t="b">
        <v>0</v>
      </c>
      <c r="AK64" s="73" t="s">
        <v>190</v>
      </c>
      <c r="AL64" s="48">
        <v>-999</v>
      </c>
      <c r="AM64" s="55">
        <f t="shared" si="25"/>
        <v>-999</v>
      </c>
      <c r="AN64" s="149">
        <f t="shared" si="45"/>
        <v>-999</v>
      </c>
      <c r="AO64" s="48">
        <v>-999</v>
      </c>
      <c r="AP64" s="55">
        <f t="shared" si="26"/>
        <v>-999</v>
      </c>
      <c r="AQ64" s="149">
        <f t="shared" si="27"/>
        <v>-999</v>
      </c>
      <c r="AR64" s="48">
        <v>-999</v>
      </c>
      <c r="AS64" s="55">
        <f t="shared" si="28"/>
        <v>-999</v>
      </c>
      <c r="AT64" s="149">
        <f t="shared" si="29"/>
        <v>-999</v>
      </c>
      <c r="AU64" s="48">
        <v>-999</v>
      </c>
      <c r="AV64" s="55">
        <f t="shared" si="30"/>
        <v>-999</v>
      </c>
      <c r="AW64" s="149">
        <f t="shared" si="31"/>
        <v>-999</v>
      </c>
      <c r="AX64" s="48">
        <v>-999</v>
      </c>
      <c r="AY64" s="55">
        <f t="shared" si="32"/>
        <v>-999</v>
      </c>
      <c r="AZ64" s="149">
        <f t="shared" si="33"/>
        <v>-999</v>
      </c>
      <c r="BA64" s="75">
        <f>(BI64+BQ64)/2</f>
        <v>9.1999999999999993</v>
      </c>
      <c r="BB64" s="55">
        <f t="shared" si="34"/>
        <v>0.10373421978796288</v>
      </c>
      <c r="BC64" s="55">
        <f t="shared" si="35"/>
        <v>7141.96</v>
      </c>
      <c r="BD64" s="55">
        <v>-999</v>
      </c>
      <c r="BE64" s="48">
        <v>-999</v>
      </c>
      <c r="BF64" s="48">
        <v>-999</v>
      </c>
      <c r="BG64" s="48">
        <v>-999</v>
      </c>
      <c r="BH64" s="48">
        <v>-999</v>
      </c>
      <c r="BI64" s="75">
        <v>6.5</v>
      </c>
      <c r="BJ64" s="81">
        <f t="shared" si="36"/>
        <v>5045.95</v>
      </c>
      <c r="BK64" s="55">
        <f t="shared" si="37"/>
        <v>8.8480524962808574E-2</v>
      </c>
      <c r="BL64" s="136">
        <v>-999</v>
      </c>
      <c r="BM64" s="48">
        <v>-999</v>
      </c>
      <c r="BN64" s="48">
        <v>-999</v>
      </c>
      <c r="BO64" s="48">
        <v>-999</v>
      </c>
      <c r="BP64" s="48">
        <v>-999</v>
      </c>
      <c r="BQ64" s="75">
        <v>11.9</v>
      </c>
      <c r="BR64" s="81">
        <f t="shared" si="38"/>
        <v>9237.9700000000012</v>
      </c>
      <c r="BS64" s="55">
        <f t="shared" si="39"/>
        <v>0.11621084038463673</v>
      </c>
      <c r="BT64" s="73">
        <v>-999</v>
      </c>
      <c r="BU64" s="48">
        <v>-999</v>
      </c>
      <c r="BV64" s="55">
        <f t="shared" si="40"/>
        <v>-999</v>
      </c>
      <c r="BW64" s="48">
        <v>-999</v>
      </c>
      <c r="BX64" s="55">
        <f t="shared" si="41"/>
        <v>-999</v>
      </c>
      <c r="BY64" s="48">
        <v>-999</v>
      </c>
      <c r="BZ64" s="55">
        <f t="shared" si="42"/>
        <v>-999</v>
      </c>
      <c r="CA64" s="48">
        <v>-999</v>
      </c>
      <c r="CB64" s="55">
        <f t="shared" si="43"/>
        <v>-999</v>
      </c>
      <c r="CC64" s="48">
        <v>-999</v>
      </c>
      <c r="CD64" s="55">
        <f t="shared" si="44"/>
        <v>-999</v>
      </c>
      <c r="CE64" s="55">
        <v>-999</v>
      </c>
      <c r="CF64" s="129" t="s">
        <v>555</v>
      </c>
      <c r="CG64" s="32" t="b">
        <v>1</v>
      </c>
      <c r="CH64" s="10" t="b">
        <v>0</v>
      </c>
    </row>
    <row r="65" spans="1:86" ht="21" customHeight="1">
      <c r="A65" s="32" t="s">
        <v>676</v>
      </c>
      <c r="B65" s="23" t="s">
        <v>437</v>
      </c>
      <c r="C65" s="7" t="s">
        <v>85</v>
      </c>
      <c r="D65" s="8">
        <v>2002</v>
      </c>
      <c r="E65" s="7" t="s">
        <v>83</v>
      </c>
      <c r="F65">
        <v>6</v>
      </c>
      <c r="G65" s="7">
        <v>3297</v>
      </c>
      <c r="H65" s="7" t="s">
        <v>23</v>
      </c>
      <c r="I65" s="7" t="s">
        <v>388</v>
      </c>
      <c r="J65" t="s">
        <v>527</v>
      </c>
      <c r="K65"/>
      <c r="L65" s="44">
        <v>56.999999999999993</v>
      </c>
      <c r="M65" s="9">
        <v>61.6</v>
      </c>
      <c r="N65" s="9">
        <v>-999</v>
      </c>
      <c r="O65" s="9">
        <v>-999</v>
      </c>
      <c r="P65" s="9">
        <v>131.1</v>
      </c>
      <c r="Q65" s="9">
        <v>78.099999999999994</v>
      </c>
      <c r="R65" s="9">
        <v>-999</v>
      </c>
      <c r="S65" s="100">
        <v>15.4</v>
      </c>
      <c r="T65" s="101" t="s">
        <v>41</v>
      </c>
      <c r="U65" s="102">
        <v>36.1</v>
      </c>
      <c r="V65" s="101" t="s">
        <v>24</v>
      </c>
      <c r="W65" s="102">
        <v>7.5</v>
      </c>
      <c r="X65" s="101" t="s">
        <v>65</v>
      </c>
      <c r="Y65" s="102">
        <v>26.200000000000003</v>
      </c>
      <c r="Z65" s="101" t="s">
        <v>69</v>
      </c>
      <c r="AA65" s="102">
        <v>24.9</v>
      </c>
      <c r="AB65" s="101" t="s">
        <v>25</v>
      </c>
      <c r="AC65" s="64">
        <v>20</v>
      </c>
      <c r="AD65" s="131">
        <f>AC65/28</f>
        <v>0.7142857142857143</v>
      </c>
      <c r="AE65" s="144">
        <f t="shared" si="23"/>
        <v>0.75</v>
      </c>
      <c r="AF65" s="146">
        <f t="shared" si="24"/>
        <v>0.72642857142857142</v>
      </c>
      <c r="AG65" s="9" t="b">
        <v>0</v>
      </c>
      <c r="AH65" s="9" t="b">
        <v>1</v>
      </c>
      <c r="AI65" s="9" t="b">
        <v>1</v>
      </c>
      <c r="AJ65" s="9" t="b">
        <v>1</v>
      </c>
      <c r="AK65" s="71" t="s">
        <v>190</v>
      </c>
      <c r="AL65" s="45">
        <v>-999</v>
      </c>
      <c r="AM65" s="44">
        <f t="shared" si="25"/>
        <v>-999</v>
      </c>
      <c r="AN65" s="149">
        <f t="shared" si="45"/>
        <v>-999</v>
      </c>
      <c r="AO65" s="45">
        <v>-999</v>
      </c>
      <c r="AP65" s="44">
        <f t="shared" si="26"/>
        <v>-999</v>
      </c>
      <c r="AQ65" s="149">
        <f t="shared" si="27"/>
        <v>-999</v>
      </c>
      <c r="AR65" s="45">
        <v>-999</v>
      </c>
      <c r="AS65" s="44">
        <f t="shared" si="28"/>
        <v>-999</v>
      </c>
      <c r="AT65" s="149">
        <f t="shared" si="29"/>
        <v>-999</v>
      </c>
      <c r="AU65" s="45">
        <v>-999</v>
      </c>
      <c r="AV65" s="44">
        <f t="shared" si="30"/>
        <v>-999</v>
      </c>
      <c r="AW65" s="149">
        <f t="shared" si="31"/>
        <v>-999</v>
      </c>
      <c r="AX65" s="45">
        <v>-999</v>
      </c>
      <c r="AY65" s="44">
        <f t="shared" si="32"/>
        <v>-999</v>
      </c>
      <c r="AZ65" s="149">
        <f t="shared" si="33"/>
        <v>-999</v>
      </c>
      <c r="BA65" s="76">
        <v>18.2</v>
      </c>
      <c r="BB65" s="44">
        <f t="shared" si="34"/>
        <v>0.67197462291584154</v>
      </c>
      <c r="BC65" s="55">
        <f t="shared" si="35"/>
        <v>600.05399999999997</v>
      </c>
      <c r="BD65" s="44">
        <v>-999</v>
      </c>
      <c r="BE65" s="45">
        <v>-999</v>
      </c>
      <c r="BF65" s="45">
        <v>-999</v>
      </c>
      <c r="BG65" s="45">
        <v>-999</v>
      </c>
      <c r="BH65" s="45">
        <v>-999</v>
      </c>
      <c r="BI65" s="76">
        <v>22.1</v>
      </c>
      <c r="BJ65" s="81">
        <f t="shared" si="36"/>
        <v>728.63700000000006</v>
      </c>
      <c r="BK65" s="44">
        <f t="shared" si="37"/>
        <v>0.72261237060812855</v>
      </c>
      <c r="BL65" s="137">
        <v>-999</v>
      </c>
      <c r="BM65" s="45">
        <v>-999</v>
      </c>
      <c r="BN65" s="45">
        <v>-999</v>
      </c>
      <c r="BO65" s="45">
        <v>-999</v>
      </c>
      <c r="BP65" s="45">
        <v>-999</v>
      </c>
      <c r="BQ65" s="76">
        <v>15.299999999999999</v>
      </c>
      <c r="BR65" s="81">
        <f t="shared" si="38"/>
        <v>504.44099999999997</v>
      </c>
      <c r="BS65" s="44">
        <f t="shared" si="39"/>
        <v>0.62694284017026969</v>
      </c>
      <c r="BT65" s="71">
        <v>-999</v>
      </c>
      <c r="BU65" s="48">
        <v>-999</v>
      </c>
      <c r="BV65" s="44">
        <f t="shared" si="40"/>
        <v>-999</v>
      </c>
      <c r="BW65" s="48">
        <v>-999</v>
      </c>
      <c r="BX65" s="44">
        <f t="shared" si="41"/>
        <v>-999</v>
      </c>
      <c r="BY65" s="48">
        <v>-999</v>
      </c>
      <c r="BZ65" s="44">
        <f t="shared" si="42"/>
        <v>-999</v>
      </c>
      <c r="CA65" s="48">
        <v>-999</v>
      </c>
      <c r="CB65" s="44">
        <f t="shared" si="43"/>
        <v>-999</v>
      </c>
      <c r="CC65" s="48">
        <v>-999</v>
      </c>
      <c r="CD65" s="44">
        <f t="shared" si="44"/>
        <v>-999</v>
      </c>
      <c r="CE65" s="55">
        <v>-999</v>
      </c>
      <c r="CF65" s="129" t="s">
        <v>555</v>
      </c>
      <c r="CG65" s="32" t="b">
        <v>1</v>
      </c>
      <c r="CH65" s="10" t="b">
        <v>0</v>
      </c>
    </row>
    <row r="66" spans="1:86" ht="21" customHeight="1">
      <c r="A66" s="32" t="s">
        <v>677</v>
      </c>
      <c r="B66" s="23" t="s">
        <v>438</v>
      </c>
      <c r="C66" s="7" t="s">
        <v>74</v>
      </c>
      <c r="D66" s="8" t="s">
        <v>27</v>
      </c>
      <c r="E66" s="7" t="s">
        <v>71</v>
      </c>
      <c r="F66">
        <v>3</v>
      </c>
      <c r="G66" s="7">
        <v>1557</v>
      </c>
      <c r="H66" s="7" t="s">
        <v>23</v>
      </c>
      <c r="I66" s="25" t="s">
        <v>408</v>
      </c>
      <c r="J66" t="s">
        <v>527</v>
      </c>
      <c r="K66"/>
      <c r="L66" s="44">
        <v>53</v>
      </c>
      <c r="M66" s="9">
        <v>56.8</v>
      </c>
      <c r="N66" s="9">
        <v>-999</v>
      </c>
      <c r="O66" s="9">
        <v>-999</v>
      </c>
      <c r="P66" s="9">
        <v>-999</v>
      </c>
      <c r="Q66" s="9">
        <v>-999</v>
      </c>
      <c r="R66" s="9">
        <v>85.7</v>
      </c>
      <c r="S66" s="100">
        <v>26.6</v>
      </c>
      <c r="T66" s="101" t="s">
        <v>75</v>
      </c>
      <c r="U66" s="102">
        <v>50.8</v>
      </c>
      <c r="V66" s="101" t="s">
        <v>47</v>
      </c>
      <c r="W66" s="102">
        <v>5.7</v>
      </c>
      <c r="X66" s="101">
        <v>-999</v>
      </c>
      <c r="Y66" s="102">
        <v>27</v>
      </c>
      <c r="Z66" s="101">
        <v>-999</v>
      </c>
      <c r="AA66" s="102">
        <v>15.629999999999999</v>
      </c>
      <c r="AB66" s="101" t="s">
        <v>76</v>
      </c>
      <c r="AC66" s="64">
        <v>17</v>
      </c>
      <c r="AD66" s="131">
        <f>AC66/28</f>
        <v>0.6071428571428571</v>
      </c>
      <c r="AE66" s="144">
        <f t="shared" ref="AE66:AE97" si="46">IF(COUNTIF(AG66:AJ66,TRUE)&lt;&gt;0,COUNTIF(AG66:AJ66,TRUE)/4,0)</f>
        <v>0</v>
      </c>
      <c r="AF66" s="146">
        <f t="shared" ref="AF66:AF97" si="47">(AD66*0.66)+(AE66*0.34)</f>
        <v>0.40071428571428569</v>
      </c>
      <c r="AG66" s="9" t="b">
        <v>0</v>
      </c>
      <c r="AH66" s="9" t="b">
        <v>0</v>
      </c>
      <c r="AI66" s="9" t="b">
        <v>0</v>
      </c>
      <c r="AJ66" s="9" t="b">
        <v>0</v>
      </c>
      <c r="AK66" s="71" t="s">
        <v>190</v>
      </c>
      <c r="AL66" s="45">
        <v>3.8</v>
      </c>
      <c r="AM66" s="44">
        <f t="shared" ref="AM66:AM97" si="48">IF(AL66&lt;&gt;-999,SQRT(AL66*(100-AL66)/$G66),-999)</f>
        <v>0.48454601705732175</v>
      </c>
      <c r="AN66" s="149">
        <f t="shared" si="45"/>
        <v>59.165999999999997</v>
      </c>
      <c r="AO66" s="45">
        <v>10.7</v>
      </c>
      <c r="AP66" s="44">
        <f t="shared" ref="AP66:AP97" si="49">IF(AO66&lt;&gt;-999,SQRT(AO66*(100-AO66)/$G66),-999)</f>
        <v>0.78338150140921792</v>
      </c>
      <c r="AQ66" s="149">
        <f t="shared" ref="AQ66:AQ97" si="50">IF(AO66&lt;&gt;-999,(AO66/100)*$G66,-999)</f>
        <v>166.59899999999999</v>
      </c>
      <c r="AR66" s="45">
        <v>8.3699999999999992</v>
      </c>
      <c r="AS66" s="44">
        <f t="shared" ref="AS66:AS97" si="51">IF(AR66&lt;&gt;-999,SQRT(AR66*(100-AR66)/$G66),-999)</f>
        <v>0.70183862578758005</v>
      </c>
      <c r="AT66" s="149">
        <f t="shared" ref="AT66:AT97" si="52">IF(AR66&lt;&gt;-999,(AR66/100)*$G66,-999)</f>
        <v>130.32089999999999</v>
      </c>
      <c r="AU66" s="45">
        <v>0.26</v>
      </c>
      <c r="AV66" s="44">
        <f t="shared" ref="AV66:AV97" si="53">IF(AU66&lt;&gt;-999,SQRT(AU66*(100-AU66)/$G66),-999)</f>
        <v>0.12905565806011063</v>
      </c>
      <c r="AW66" s="149">
        <f t="shared" ref="AW66:AW97" si="54">IF(AU66&lt;&gt;-999,(AU66/100)*$G66,-999)</f>
        <v>4.0481999999999996</v>
      </c>
      <c r="AX66" s="45">
        <v>0.26</v>
      </c>
      <c r="AY66" s="44">
        <f t="shared" ref="AY66:AY97" si="55">IF(AX66&lt;&gt;-999,SQRT(AX66*(100-AX66)/$G66),-999)</f>
        <v>0.12905565806011063</v>
      </c>
      <c r="AZ66" s="149">
        <f t="shared" ref="AZ66:AZ97" si="56">IF(AX66&lt;&gt;-999,(AX66/100)*$G66,-999)</f>
        <v>4.0481999999999996</v>
      </c>
      <c r="BA66" s="76">
        <v>23.4</v>
      </c>
      <c r="BB66" s="44">
        <f t="shared" ref="BB66:BB97" si="57">IF(BA66&lt;&gt;-999,SQRT(BA66*(100-BA66)/$G66),-999)</f>
        <v>1.0729463513300046</v>
      </c>
      <c r="BC66" s="55">
        <f t="shared" ref="BC66:BC97" si="58">IF(G66&lt;&gt;-999,(BA66/100)*G66,-999)</f>
        <v>364.33799999999997</v>
      </c>
      <c r="BD66" s="44">
        <v>-999</v>
      </c>
      <c r="BE66" s="45">
        <v>-999</v>
      </c>
      <c r="BF66" s="45">
        <v>-999</v>
      </c>
      <c r="BG66" s="45">
        <v>-999</v>
      </c>
      <c r="BH66" s="45">
        <v>-999</v>
      </c>
      <c r="BI66" s="76">
        <v>23.5</v>
      </c>
      <c r="BJ66" s="81">
        <f t="shared" ref="BJ66:BJ97" si="59">IF(BI66&lt;&gt;-999,(BI66/100)*$G66,-999)</f>
        <v>365.89499999999998</v>
      </c>
      <c r="BK66" s="44">
        <f t="shared" ref="BK66:BK97" si="60">IF(BI66&lt;&gt;-999,SQRT(BI66*(100-BI66)/$G66),-999)</f>
        <v>1.074534446845073</v>
      </c>
      <c r="BL66" s="137">
        <v>-999</v>
      </c>
      <c r="BM66" s="45">
        <v>-999</v>
      </c>
      <c r="BN66" s="45">
        <v>-999</v>
      </c>
      <c r="BO66" s="45">
        <v>-999</v>
      </c>
      <c r="BP66" s="45">
        <v>-999</v>
      </c>
      <c r="BQ66" s="76">
        <v>22.9</v>
      </c>
      <c r="BR66" s="81">
        <f t="shared" ref="BR66:BR97" si="61">IF(BQ66&lt;&gt;-999,(BQ66/100)*$G66,-999)</f>
        <v>356.553</v>
      </c>
      <c r="BS66" s="44">
        <f t="shared" ref="BS66:BS97" si="62">IF(BQ66&lt;&gt;-999,SQRT(BQ66*(100-BQ66)/$G66),-999)</f>
        <v>1.0648798859418944</v>
      </c>
      <c r="BT66" s="71">
        <v>-999</v>
      </c>
      <c r="BU66" s="48">
        <v>-999</v>
      </c>
      <c r="BV66" s="44">
        <f t="shared" ref="BV66:BV97" si="63">IF(BU66&lt;&gt;-999,SQRT(BU66*(100-BU66)/$G66),-999)</f>
        <v>-999</v>
      </c>
      <c r="BW66" s="48">
        <v>-999</v>
      </c>
      <c r="BX66" s="44">
        <f t="shared" ref="BX66:BX97" si="64">IF(BW66&lt;&gt;-999,SQRT(BW66*(100-BW66)/$G66),-999)</f>
        <v>-999</v>
      </c>
      <c r="BY66" s="48">
        <v>-999</v>
      </c>
      <c r="BZ66" s="44">
        <f t="shared" ref="BZ66:BZ97" si="65">IF(BY66&lt;&gt;-999,SQRT(BY66*(100-BY66)/$G66),-999)</f>
        <v>-999</v>
      </c>
      <c r="CA66" s="48">
        <v>-999</v>
      </c>
      <c r="CB66" s="44">
        <f t="shared" ref="CB66:CB97" si="66">IF(CA66&lt;&gt;-999,SQRT(CA66*(100-CA66)/$G66),-999)</f>
        <v>-999</v>
      </c>
      <c r="CC66" s="48">
        <v>-999</v>
      </c>
      <c r="CD66" s="44">
        <f t="shared" ref="CD66:CD97" si="67">IF(CC66&lt;&gt;-999,SQRT(CC66*(100-CC66)/$G66),-999)</f>
        <v>-999</v>
      </c>
      <c r="CE66" s="55">
        <v>-999</v>
      </c>
      <c r="CF66" s="129" t="s">
        <v>556</v>
      </c>
      <c r="CG66" s="32" t="b">
        <v>0</v>
      </c>
      <c r="CH66" s="30" t="b">
        <v>0</v>
      </c>
    </row>
    <row r="67" spans="1:86" ht="21" customHeight="1">
      <c r="A67" s="30" t="s">
        <v>678</v>
      </c>
      <c r="B67" s="23" t="s">
        <v>439</v>
      </c>
      <c r="C67" s="7" t="s">
        <v>112</v>
      </c>
      <c r="D67" s="8" t="s">
        <v>113</v>
      </c>
      <c r="E67" s="7" t="s">
        <v>701</v>
      </c>
      <c r="F67">
        <v>4</v>
      </c>
      <c r="G67" s="7">
        <v>6317</v>
      </c>
      <c r="H67" s="7" t="s">
        <v>29</v>
      </c>
      <c r="I67" s="25" t="s">
        <v>389</v>
      </c>
      <c r="J67" t="s">
        <v>522</v>
      </c>
      <c r="K67"/>
      <c r="L67" s="44">
        <v>50.926072502770303</v>
      </c>
      <c r="M67" s="9">
        <v>52.2</v>
      </c>
      <c r="N67" s="9">
        <v>74.3</v>
      </c>
      <c r="O67" s="9">
        <v>25.9</v>
      </c>
      <c r="P67" s="9">
        <v>126</v>
      </c>
      <c r="Q67" s="9">
        <v>79.7</v>
      </c>
      <c r="R67" s="9">
        <v>87.5</v>
      </c>
      <c r="S67" s="121">
        <v>3.5000000000000004</v>
      </c>
      <c r="T67" s="101">
        <v>-999</v>
      </c>
      <c r="U67" s="102">
        <v>39.300000000000004</v>
      </c>
      <c r="V67" s="101">
        <v>-999</v>
      </c>
      <c r="W67" s="102">
        <v>-999</v>
      </c>
      <c r="X67" s="101">
        <v>-999</v>
      </c>
      <c r="Y67" s="102">
        <v>15.8</v>
      </c>
      <c r="Z67" s="101">
        <v>-999</v>
      </c>
      <c r="AA67" s="102">
        <v>24.9</v>
      </c>
      <c r="AB67" s="101">
        <v>-999</v>
      </c>
      <c r="AC67" s="64">
        <v>17</v>
      </c>
      <c r="AD67" s="131">
        <f>AC67/28</f>
        <v>0.6071428571428571</v>
      </c>
      <c r="AE67" s="144">
        <f t="shared" si="46"/>
        <v>0.5</v>
      </c>
      <c r="AF67" s="146">
        <f t="shared" si="47"/>
        <v>0.57071428571428573</v>
      </c>
      <c r="AG67" s="9" t="b">
        <v>0</v>
      </c>
      <c r="AH67" s="9" t="b">
        <v>1</v>
      </c>
      <c r="AI67" s="9" t="b">
        <v>1</v>
      </c>
      <c r="AJ67" s="9" t="b">
        <v>0</v>
      </c>
      <c r="AK67" s="71" t="s">
        <v>190</v>
      </c>
      <c r="AL67" s="45">
        <v>-999</v>
      </c>
      <c r="AM67" s="44">
        <f t="shared" si="48"/>
        <v>-999</v>
      </c>
      <c r="AN67" s="149">
        <f t="shared" ref="AN67:AN98" si="68">IF(AL67&lt;&gt;-999,(AL67/100)*G67,-999)</f>
        <v>-999</v>
      </c>
      <c r="AO67" s="45">
        <v>-999</v>
      </c>
      <c r="AP67" s="44">
        <f t="shared" si="49"/>
        <v>-999</v>
      </c>
      <c r="AQ67" s="149">
        <f t="shared" si="50"/>
        <v>-999</v>
      </c>
      <c r="AR67" s="45">
        <v>-999</v>
      </c>
      <c r="AS67" s="44">
        <f t="shared" si="51"/>
        <v>-999</v>
      </c>
      <c r="AT67" s="149">
        <f t="shared" si="52"/>
        <v>-999</v>
      </c>
      <c r="AU67" s="45">
        <v>-999</v>
      </c>
      <c r="AV67" s="44">
        <f t="shared" si="53"/>
        <v>-999</v>
      </c>
      <c r="AW67" s="149">
        <f t="shared" si="54"/>
        <v>-999</v>
      </c>
      <c r="AX67" s="45">
        <v>-999</v>
      </c>
      <c r="AY67" s="44">
        <f t="shared" si="55"/>
        <v>-999</v>
      </c>
      <c r="AZ67" s="149">
        <f t="shared" si="56"/>
        <v>-999</v>
      </c>
      <c r="BA67" s="81">
        <v>10.8</v>
      </c>
      <c r="BB67" s="44">
        <f t="shared" si="57"/>
        <v>0.39051603078792901</v>
      </c>
      <c r="BC67" s="55">
        <f t="shared" si="58"/>
        <v>682.2360000000001</v>
      </c>
      <c r="BD67" s="44">
        <v>-999</v>
      </c>
      <c r="BE67" s="45">
        <v>-999</v>
      </c>
      <c r="BF67" s="45">
        <v>-999</v>
      </c>
      <c r="BG67" s="45">
        <v>-999</v>
      </c>
      <c r="BH67" s="45">
        <v>-999</v>
      </c>
      <c r="BI67" s="81">
        <v>-999</v>
      </c>
      <c r="BJ67" s="81">
        <f t="shared" si="59"/>
        <v>-999</v>
      </c>
      <c r="BK67" s="44">
        <f t="shared" si="60"/>
        <v>-999</v>
      </c>
      <c r="BL67" s="137">
        <v>-999</v>
      </c>
      <c r="BM67" s="45">
        <v>-999</v>
      </c>
      <c r="BN67" s="45">
        <v>-999</v>
      </c>
      <c r="BO67" s="45">
        <v>-999</v>
      </c>
      <c r="BP67" s="45">
        <v>-999</v>
      </c>
      <c r="BQ67" s="81">
        <v>-999</v>
      </c>
      <c r="BR67" s="81">
        <f t="shared" si="61"/>
        <v>-999</v>
      </c>
      <c r="BS67" s="44">
        <f t="shared" si="62"/>
        <v>-999</v>
      </c>
      <c r="BT67" s="71">
        <v>-999</v>
      </c>
      <c r="BU67" s="48">
        <v>-999</v>
      </c>
      <c r="BV67" s="44">
        <f t="shared" si="63"/>
        <v>-999</v>
      </c>
      <c r="BW67" s="48">
        <v>-999</v>
      </c>
      <c r="BX67" s="44">
        <f t="shared" si="64"/>
        <v>-999</v>
      </c>
      <c r="BY67" s="48">
        <v>-999</v>
      </c>
      <c r="BZ67" s="44">
        <f t="shared" si="65"/>
        <v>-999</v>
      </c>
      <c r="CA67" s="48">
        <v>-999</v>
      </c>
      <c r="CB67" s="44">
        <f t="shared" si="66"/>
        <v>-999</v>
      </c>
      <c r="CC67" s="48">
        <v>-999</v>
      </c>
      <c r="CD67" s="44">
        <f t="shared" si="67"/>
        <v>-999</v>
      </c>
      <c r="CE67" s="55">
        <v>-999</v>
      </c>
      <c r="CF67" s="129" t="s">
        <v>555</v>
      </c>
      <c r="CG67" s="32" t="b">
        <v>0</v>
      </c>
      <c r="CH67" s="10" t="b">
        <v>0</v>
      </c>
    </row>
    <row r="68" spans="1:86" ht="21" customHeight="1">
      <c r="A68" s="10" t="s">
        <v>633</v>
      </c>
      <c r="B68" s="23" t="s">
        <v>495</v>
      </c>
      <c r="C68" s="19" t="s">
        <v>297</v>
      </c>
      <c r="D68" s="36" t="s">
        <v>298</v>
      </c>
      <c r="E68" s="38" t="s">
        <v>83</v>
      </c>
      <c r="F68">
        <v>6</v>
      </c>
      <c r="G68" s="38">
        <v>1978</v>
      </c>
      <c r="H68" s="38" t="s">
        <v>29</v>
      </c>
      <c r="I68" s="38" t="s">
        <v>299</v>
      </c>
      <c r="J68" t="s">
        <v>527</v>
      </c>
      <c r="K68" t="s">
        <v>533</v>
      </c>
      <c r="L68" s="47">
        <v>64.8</v>
      </c>
      <c r="M68" s="37">
        <v>60.8</v>
      </c>
      <c r="N68" s="37">
        <v>-999</v>
      </c>
      <c r="O68" s="37">
        <v>21.6</v>
      </c>
      <c r="P68" s="37">
        <v>125</v>
      </c>
      <c r="Q68" s="37">
        <v>73.400000000000006</v>
      </c>
      <c r="R68" s="37">
        <v>-999</v>
      </c>
      <c r="S68" s="111">
        <v>-999</v>
      </c>
      <c r="T68" s="112">
        <v>-999</v>
      </c>
      <c r="U68" s="113">
        <v>-999</v>
      </c>
      <c r="V68" s="112">
        <v>-999</v>
      </c>
      <c r="W68" s="113">
        <v>-999</v>
      </c>
      <c r="X68" s="112">
        <v>-999</v>
      </c>
      <c r="Y68" s="113">
        <v>-999</v>
      </c>
      <c r="Z68" s="112">
        <v>-999</v>
      </c>
      <c r="AA68" s="113">
        <v>-999</v>
      </c>
      <c r="AB68" s="112">
        <v>-999</v>
      </c>
      <c r="AC68" s="64">
        <v>18</v>
      </c>
      <c r="AD68" s="131">
        <v>0.6428571428571429</v>
      </c>
      <c r="AE68" s="144">
        <f t="shared" si="46"/>
        <v>0</v>
      </c>
      <c r="AF68" s="146">
        <f t="shared" si="47"/>
        <v>0.42428571428571432</v>
      </c>
      <c r="AG68" s="29" t="b">
        <v>0</v>
      </c>
      <c r="AH68" s="29" t="b">
        <v>0</v>
      </c>
      <c r="AI68" s="29" t="b">
        <v>0</v>
      </c>
      <c r="AJ68" s="29" t="b">
        <v>0</v>
      </c>
      <c r="AK68" s="73" t="s">
        <v>190</v>
      </c>
      <c r="AL68" s="48">
        <v>-999</v>
      </c>
      <c r="AM68" s="55">
        <f t="shared" si="48"/>
        <v>-999</v>
      </c>
      <c r="AN68" s="149">
        <f t="shared" si="68"/>
        <v>-999</v>
      </c>
      <c r="AO68" s="48">
        <v>-999</v>
      </c>
      <c r="AP68" s="55">
        <f t="shared" si="49"/>
        <v>-999</v>
      </c>
      <c r="AQ68" s="149">
        <f t="shared" si="50"/>
        <v>-999</v>
      </c>
      <c r="AR68" s="48">
        <v>-999</v>
      </c>
      <c r="AS68" s="55">
        <f t="shared" si="51"/>
        <v>-999</v>
      </c>
      <c r="AT68" s="149">
        <f t="shared" si="52"/>
        <v>-999</v>
      </c>
      <c r="AU68" s="48">
        <v>-999</v>
      </c>
      <c r="AV68" s="55">
        <f t="shared" si="53"/>
        <v>-999</v>
      </c>
      <c r="AW68" s="149">
        <f t="shared" si="54"/>
        <v>-999</v>
      </c>
      <c r="AX68" s="48">
        <v>-999</v>
      </c>
      <c r="AY68" s="55">
        <f t="shared" si="55"/>
        <v>-999</v>
      </c>
      <c r="AZ68" s="149">
        <f t="shared" si="56"/>
        <v>-999</v>
      </c>
      <c r="BA68" s="75">
        <v>18.2</v>
      </c>
      <c r="BB68" s="55">
        <f t="shared" si="57"/>
        <v>0.86755936498286046</v>
      </c>
      <c r="BC68" s="55">
        <f t="shared" si="58"/>
        <v>359.99599999999998</v>
      </c>
      <c r="BD68" s="55">
        <v>-999</v>
      </c>
      <c r="BE68" s="48">
        <v>-999</v>
      </c>
      <c r="BF68" s="48">
        <v>-999</v>
      </c>
      <c r="BG68" s="48">
        <v>-999</v>
      </c>
      <c r="BH68" s="48">
        <v>-999</v>
      </c>
      <c r="BI68" s="75">
        <v>22.8</v>
      </c>
      <c r="BJ68" s="81">
        <f t="shared" si="59"/>
        <v>450.98400000000004</v>
      </c>
      <c r="BK68" s="55">
        <f t="shared" si="60"/>
        <v>0.94332844444289154</v>
      </c>
      <c r="BL68" s="136">
        <v>-999</v>
      </c>
      <c r="BM68" s="48">
        <v>-999</v>
      </c>
      <c r="BN68" s="48">
        <v>-999</v>
      </c>
      <c r="BO68" s="48">
        <v>-999</v>
      </c>
      <c r="BP68" s="48">
        <v>-999</v>
      </c>
      <c r="BQ68" s="75">
        <v>15.7</v>
      </c>
      <c r="BR68" s="81">
        <f t="shared" si="61"/>
        <v>310.54599999999999</v>
      </c>
      <c r="BS68" s="55">
        <f t="shared" si="62"/>
        <v>0.81799466254213515</v>
      </c>
      <c r="BT68" s="73">
        <v>-999</v>
      </c>
      <c r="BU68" s="48">
        <v>-999</v>
      </c>
      <c r="BV68" s="55">
        <f t="shared" si="63"/>
        <v>-999</v>
      </c>
      <c r="BW68" s="48">
        <v>-999</v>
      </c>
      <c r="BX68" s="55">
        <f t="shared" si="64"/>
        <v>-999</v>
      </c>
      <c r="BY68" s="48">
        <v>-999</v>
      </c>
      <c r="BZ68" s="55">
        <f t="shared" si="65"/>
        <v>-999</v>
      </c>
      <c r="CA68" s="48">
        <v>-999</v>
      </c>
      <c r="CB68" s="55">
        <f t="shared" si="66"/>
        <v>-999</v>
      </c>
      <c r="CC68" s="48">
        <v>-999</v>
      </c>
      <c r="CD68" s="55">
        <f t="shared" si="67"/>
        <v>-999</v>
      </c>
      <c r="CE68" s="55">
        <v>-999</v>
      </c>
      <c r="CF68" s="129" t="s">
        <v>556</v>
      </c>
      <c r="CG68" s="32" t="b">
        <v>0</v>
      </c>
      <c r="CH68" s="10" t="b">
        <v>0</v>
      </c>
    </row>
    <row r="69" spans="1:86" ht="21" customHeight="1">
      <c r="A69" s="10" t="s">
        <v>634</v>
      </c>
      <c r="B69" s="23" t="s">
        <v>496</v>
      </c>
      <c r="C69" s="19" t="s">
        <v>300</v>
      </c>
      <c r="D69" s="11" t="s">
        <v>706</v>
      </c>
      <c r="E69" s="38" t="s">
        <v>301</v>
      </c>
      <c r="F69">
        <v>6</v>
      </c>
      <c r="G69" s="38">
        <v>3280</v>
      </c>
      <c r="H69" s="38" t="s">
        <v>29</v>
      </c>
      <c r="I69" s="38" t="s">
        <v>303</v>
      </c>
      <c r="J69" t="s">
        <v>527</v>
      </c>
      <c r="K69"/>
      <c r="L69" s="47">
        <v>51.7</v>
      </c>
      <c r="M69" s="37">
        <v>58.7</v>
      </c>
      <c r="N69" s="37">
        <v>-999</v>
      </c>
      <c r="O69" s="37">
        <v>26.4</v>
      </c>
      <c r="P69" s="37">
        <v>147.19999999999999</v>
      </c>
      <c r="Q69" s="37">
        <v>79.8</v>
      </c>
      <c r="R69" s="37">
        <v>-999</v>
      </c>
      <c r="S69" s="111">
        <v>23.2</v>
      </c>
      <c r="T69" s="112" t="s">
        <v>304</v>
      </c>
      <c r="U69" s="113">
        <v>68.5</v>
      </c>
      <c r="V69" s="112">
        <v>-999</v>
      </c>
      <c r="W69" s="113">
        <v>-999</v>
      </c>
      <c r="X69" s="112" t="s">
        <v>302</v>
      </c>
      <c r="Y69" s="113">
        <v>-999</v>
      </c>
      <c r="Z69" s="112">
        <v>-999</v>
      </c>
      <c r="AA69" s="113">
        <v>20.399999999999999</v>
      </c>
      <c r="AB69" s="112" t="s">
        <v>25</v>
      </c>
      <c r="AC69" s="64">
        <v>24</v>
      </c>
      <c r="AD69" s="131">
        <v>0.8571428571428571</v>
      </c>
      <c r="AE69" s="144">
        <f t="shared" si="46"/>
        <v>0</v>
      </c>
      <c r="AF69" s="146">
        <f t="shared" si="47"/>
        <v>0.56571428571428573</v>
      </c>
      <c r="AG69" s="29" t="b">
        <v>0</v>
      </c>
      <c r="AH69" s="29" t="b">
        <v>0</v>
      </c>
      <c r="AI69" s="29" t="b">
        <v>0</v>
      </c>
      <c r="AJ69" s="29" t="b">
        <v>0</v>
      </c>
      <c r="AK69" s="73" t="s">
        <v>190</v>
      </c>
      <c r="AL69" s="48">
        <v>-999</v>
      </c>
      <c r="AM69" s="55">
        <f t="shared" si="48"/>
        <v>-999</v>
      </c>
      <c r="AN69" s="149">
        <f t="shared" si="68"/>
        <v>-999</v>
      </c>
      <c r="AO69" s="48">
        <v>-999</v>
      </c>
      <c r="AP69" s="55">
        <f t="shared" si="49"/>
        <v>-999</v>
      </c>
      <c r="AQ69" s="149">
        <f t="shared" si="50"/>
        <v>-999</v>
      </c>
      <c r="AR69" s="48">
        <v>-999</v>
      </c>
      <c r="AS69" s="55">
        <f t="shared" si="51"/>
        <v>-999</v>
      </c>
      <c r="AT69" s="149">
        <f t="shared" si="52"/>
        <v>-999</v>
      </c>
      <c r="AU69" s="48">
        <v>-999</v>
      </c>
      <c r="AV69" s="55">
        <f t="shared" si="53"/>
        <v>-999</v>
      </c>
      <c r="AW69" s="149">
        <f t="shared" si="54"/>
        <v>-999</v>
      </c>
      <c r="AY69" s="55">
        <f t="shared" si="55"/>
        <v>0</v>
      </c>
      <c r="AZ69" s="149">
        <f t="shared" si="56"/>
        <v>0</v>
      </c>
      <c r="BA69" s="75">
        <v>27.9</v>
      </c>
      <c r="BB69" s="55">
        <f t="shared" si="57"/>
        <v>0.78312810838734515</v>
      </c>
      <c r="BC69" s="55">
        <f t="shared" si="58"/>
        <v>915.11999999999989</v>
      </c>
      <c r="BD69" s="55">
        <v>-999</v>
      </c>
      <c r="BE69" s="48">
        <v>-999</v>
      </c>
      <c r="BF69" s="48">
        <v>-999</v>
      </c>
      <c r="BG69" s="48">
        <v>-999</v>
      </c>
      <c r="BH69" s="48">
        <v>-999</v>
      </c>
      <c r="BI69" s="75">
        <v>-999</v>
      </c>
      <c r="BJ69" s="81">
        <f t="shared" si="59"/>
        <v>-999</v>
      </c>
      <c r="BK69" s="55">
        <f t="shared" si="60"/>
        <v>-999</v>
      </c>
      <c r="BL69" s="136">
        <v>-999</v>
      </c>
      <c r="BM69" s="48">
        <v>-999</v>
      </c>
      <c r="BN69" s="48">
        <v>-999</v>
      </c>
      <c r="BO69" s="48">
        <v>-999</v>
      </c>
      <c r="BP69" s="48">
        <v>-999</v>
      </c>
      <c r="BQ69" s="75">
        <v>-999</v>
      </c>
      <c r="BR69" s="81">
        <f t="shared" si="61"/>
        <v>-999</v>
      </c>
      <c r="BS69" s="55">
        <f t="shared" si="62"/>
        <v>-999</v>
      </c>
      <c r="BT69" s="73">
        <v>-999</v>
      </c>
      <c r="BU69" s="48">
        <v>-999</v>
      </c>
      <c r="BV69" s="55">
        <f t="shared" si="63"/>
        <v>-999</v>
      </c>
      <c r="BW69" s="48">
        <v>-999</v>
      </c>
      <c r="BX69" s="55">
        <f t="shared" si="64"/>
        <v>-999</v>
      </c>
      <c r="BY69" s="48">
        <v>-999</v>
      </c>
      <c r="BZ69" s="55">
        <f t="shared" si="65"/>
        <v>-999</v>
      </c>
      <c r="CA69" s="48">
        <v>-999</v>
      </c>
      <c r="CB69" s="55">
        <f t="shared" si="66"/>
        <v>-999</v>
      </c>
      <c r="CC69" s="48">
        <v>-999</v>
      </c>
      <c r="CD69" s="55">
        <f t="shared" si="67"/>
        <v>-999</v>
      </c>
      <c r="CE69" s="55">
        <v>-999</v>
      </c>
      <c r="CF69" s="129" t="s">
        <v>556</v>
      </c>
      <c r="CG69" s="32" t="b">
        <v>1</v>
      </c>
      <c r="CH69" s="10" t="b">
        <v>0</v>
      </c>
    </row>
    <row r="70" spans="1:86" s="10" customFormat="1" ht="21" customHeight="1">
      <c r="A70" s="10" t="s">
        <v>679</v>
      </c>
      <c r="B70" s="23" t="s">
        <v>497</v>
      </c>
      <c r="C70" s="19" t="s">
        <v>305</v>
      </c>
      <c r="D70" s="11" t="s">
        <v>306</v>
      </c>
      <c r="E70" s="38" t="s">
        <v>207</v>
      </c>
      <c r="F70">
        <v>4</v>
      </c>
      <c r="G70" s="38">
        <v>660000</v>
      </c>
      <c r="H70" s="38" t="s">
        <v>29</v>
      </c>
      <c r="I70" s="38" t="s">
        <v>307</v>
      </c>
      <c r="J70" t="s">
        <v>531</v>
      </c>
      <c r="K70"/>
      <c r="L70" s="47">
        <v>-999</v>
      </c>
      <c r="M70" s="37">
        <v>-999</v>
      </c>
      <c r="N70" s="37">
        <v>-999</v>
      </c>
      <c r="O70" s="37">
        <v>-999</v>
      </c>
      <c r="P70" s="37">
        <v>-999</v>
      </c>
      <c r="Q70" s="37">
        <v>-999</v>
      </c>
      <c r="R70" s="37">
        <v>-999</v>
      </c>
      <c r="S70" s="111">
        <v>-999</v>
      </c>
      <c r="T70" s="112">
        <v>-999</v>
      </c>
      <c r="U70" s="113">
        <v>-999</v>
      </c>
      <c r="V70" s="112">
        <v>-999</v>
      </c>
      <c r="W70" s="113">
        <v>-999</v>
      </c>
      <c r="X70" s="112">
        <v>-999</v>
      </c>
      <c r="Y70" s="113">
        <v>-999</v>
      </c>
      <c r="Z70" s="112">
        <v>-999</v>
      </c>
      <c r="AA70" s="113">
        <v>-999</v>
      </c>
      <c r="AB70" s="112">
        <v>-999</v>
      </c>
      <c r="AC70" s="64">
        <v>21</v>
      </c>
      <c r="AD70" s="131">
        <v>0.75</v>
      </c>
      <c r="AE70" s="144">
        <f t="shared" si="46"/>
        <v>0.75</v>
      </c>
      <c r="AF70" s="146">
        <f t="shared" si="47"/>
        <v>0.75</v>
      </c>
      <c r="AG70" s="29" t="b">
        <v>0</v>
      </c>
      <c r="AH70" s="29" t="b">
        <v>1</v>
      </c>
      <c r="AI70" s="29" t="b">
        <v>1</v>
      </c>
      <c r="AJ70" s="29" t="b">
        <v>1</v>
      </c>
      <c r="AK70" s="73" t="s">
        <v>190</v>
      </c>
      <c r="AL70" s="48">
        <v>-999</v>
      </c>
      <c r="AM70" s="55">
        <f t="shared" si="48"/>
        <v>-999</v>
      </c>
      <c r="AN70" s="149">
        <f t="shared" si="68"/>
        <v>-999</v>
      </c>
      <c r="AO70" s="48">
        <v>-999</v>
      </c>
      <c r="AP70" s="55">
        <f t="shared" si="49"/>
        <v>-999</v>
      </c>
      <c r="AQ70" s="149">
        <f t="shared" si="50"/>
        <v>-999</v>
      </c>
      <c r="AR70" s="48">
        <v>14.5</v>
      </c>
      <c r="AS70" s="55">
        <f t="shared" si="51"/>
        <v>4.3340617103464173E-2</v>
      </c>
      <c r="AT70" s="149">
        <f t="shared" si="52"/>
        <v>95700</v>
      </c>
      <c r="AU70" s="48">
        <v>1.1000000000000001</v>
      </c>
      <c r="AV70" s="55">
        <f t="shared" si="53"/>
        <v>1.2838743448380506E-2</v>
      </c>
      <c r="AW70" s="149">
        <f t="shared" si="54"/>
        <v>7260.0000000000009</v>
      </c>
      <c r="AX70" s="48">
        <v>0.2</v>
      </c>
      <c r="AY70" s="55">
        <f t="shared" si="55"/>
        <v>5.4993112516409041E-3</v>
      </c>
      <c r="AZ70" s="149">
        <f t="shared" si="56"/>
        <v>1320</v>
      </c>
      <c r="BA70" s="75">
        <v>15.7</v>
      </c>
      <c r="BB70" s="55">
        <f t="shared" si="57"/>
        <v>4.4780779155997076E-2</v>
      </c>
      <c r="BC70" s="55">
        <f t="shared" si="58"/>
        <v>103620</v>
      </c>
      <c r="BD70" s="136">
        <v>-999</v>
      </c>
      <c r="BE70" s="48">
        <v>-999</v>
      </c>
      <c r="BF70" s="48">
        <v>-999</v>
      </c>
      <c r="BG70" s="48">
        <v>-999</v>
      </c>
      <c r="BH70" s="48">
        <v>-999</v>
      </c>
      <c r="BI70" s="75">
        <v>-999</v>
      </c>
      <c r="BJ70" s="81">
        <f t="shared" si="59"/>
        <v>-999</v>
      </c>
      <c r="BK70" s="55">
        <f t="shared" si="60"/>
        <v>-999</v>
      </c>
      <c r="BL70" s="136">
        <v>-999</v>
      </c>
      <c r="BM70" s="48">
        <v>-999</v>
      </c>
      <c r="BN70" s="48">
        <v>-999</v>
      </c>
      <c r="BO70" s="48">
        <v>-999</v>
      </c>
      <c r="BP70" s="48">
        <v>-999</v>
      </c>
      <c r="BQ70" s="75">
        <v>-999</v>
      </c>
      <c r="BR70" s="81">
        <f t="shared" si="61"/>
        <v>-999</v>
      </c>
      <c r="BS70" s="55">
        <f t="shared" si="62"/>
        <v>-999</v>
      </c>
      <c r="BT70" s="73" t="s">
        <v>192</v>
      </c>
      <c r="BU70" s="48">
        <v>-999</v>
      </c>
      <c r="BV70" s="55">
        <f t="shared" si="63"/>
        <v>-999</v>
      </c>
      <c r="BW70" s="48">
        <v>-999</v>
      </c>
      <c r="BX70" s="55">
        <f t="shared" si="64"/>
        <v>-999</v>
      </c>
      <c r="BY70" s="48">
        <v>13.1</v>
      </c>
      <c r="BZ70" s="55">
        <f t="shared" si="65"/>
        <v>4.1531112835238755E-2</v>
      </c>
      <c r="CA70" s="48">
        <v>1.23</v>
      </c>
      <c r="CB70" s="55">
        <f t="shared" si="66"/>
        <v>1.3567290209778945E-2</v>
      </c>
      <c r="CC70" s="48">
        <v>0.23</v>
      </c>
      <c r="CD70" s="55">
        <f t="shared" si="67"/>
        <v>5.8964678692699866E-3</v>
      </c>
      <c r="CE70" s="55">
        <v>14.5</v>
      </c>
      <c r="CF70" s="129" t="s">
        <v>555</v>
      </c>
      <c r="CG70" s="32" t="b">
        <v>0</v>
      </c>
      <c r="CH70" s="10" t="b">
        <v>0</v>
      </c>
    </row>
    <row r="71" spans="1:86" s="10" customFormat="1" ht="21" customHeight="1">
      <c r="A71" s="10" t="s">
        <v>635</v>
      </c>
      <c r="B71" s="23" t="s">
        <v>498</v>
      </c>
      <c r="C71" s="19" t="s">
        <v>308</v>
      </c>
      <c r="D71" s="11" t="s">
        <v>310</v>
      </c>
      <c r="E71" s="10" t="s">
        <v>83</v>
      </c>
      <c r="F71">
        <v>6</v>
      </c>
      <c r="G71" s="38">
        <v>39211</v>
      </c>
      <c r="H71" s="38" t="s">
        <v>29</v>
      </c>
      <c r="I71" s="38" t="s">
        <v>309</v>
      </c>
      <c r="J71" t="s">
        <v>527</v>
      </c>
      <c r="K71"/>
      <c r="L71" s="47">
        <v>70.3</v>
      </c>
      <c r="M71" s="37">
        <v>58.6</v>
      </c>
      <c r="N71" s="37">
        <v>-999</v>
      </c>
      <c r="O71" s="37">
        <v>-999</v>
      </c>
      <c r="P71" s="37">
        <v>126</v>
      </c>
      <c r="Q71" s="37">
        <v>76</v>
      </c>
      <c r="R71" s="37">
        <v>64.5</v>
      </c>
      <c r="S71" s="111">
        <v>1.8</v>
      </c>
      <c r="T71" s="112" t="s">
        <v>281</v>
      </c>
      <c r="U71" s="113">
        <v>22.9</v>
      </c>
      <c r="V71" s="112" t="s">
        <v>284</v>
      </c>
      <c r="W71" s="113">
        <v>-999</v>
      </c>
      <c r="X71" s="112">
        <v>-999</v>
      </c>
      <c r="Y71" s="113">
        <v>21.2</v>
      </c>
      <c r="Z71" s="112" t="s">
        <v>120</v>
      </c>
      <c r="AA71" s="113">
        <v>-999</v>
      </c>
      <c r="AB71" s="112">
        <v>-999</v>
      </c>
      <c r="AC71" s="64">
        <v>21</v>
      </c>
      <c r="AD71" s="131">
        <v>0.75</v>
      </c>
      <c r="AE71" s="144">
        <f t="shared" si="46"/>
        <v>0</v>
      </c>
      <c r="AF71" s="146">
        <f t="shared" si="47"/>
        <v>0.495</v>
      </c>
      <c r="AG71" s="29" t="b">
        <v>0</v>
      </c>
      <c r="AH71" s="29" t="b">
        <v>0</v>
      </c>
      <c r="AI71" s="29" t="b">
        <v>0</v>
      </c>
      <c r="AJ71" s="29" t="b">
        <v>0</v>
      </c>
      <c r="AK71" s="73" t="s">
        <v>190</v>
      </c>
      <c r="AL71" s="48">
        <v>-999</v>
      </c>
      <c r="AM71" s="55">
        <f t="shared" si="48"/>
        <v>-999</v>
      </c>
      <c r="AN71" s="149">
        <f t="shared" si="68"/>
        <v>-999</v>
      </c>
      <c r="AO71" s="48">
        <v>-999</v>
      </c>
      <c r="AP71" s="55">
        <f t="shared" si="49"/>
        <v>-999</v>
      </c>
      <c r="AQ71" s="149">
        <f t="shared" si="50"/>
        <v>-999</v>
      </c>
      <c r="AR71" s="48">
        <v>-999</v>
      </c>
      <c r="AS71" s="55">
        <f t="shared" si="51"/>
        <v>-999</v>
      </c>
      <c r="AT71" s="149">
        <f t="shared" si="52"/>
        <v>-999</v>
      </c>
      <c r="AU71" s="48">
        <v>-999</v>
      </c>
      <c r="AV71" s="55">
        <f t="shared" si="53"/>
        <v>-999</v>
      </c>
      <c r="AW71" s="149">
        <f t="shared" si="54"/>
        <v>-999</v>
      </c>
      <c r="AX71" s="48">
        <v>-999</v>
      </c>
      <c r="AY71" s="55">
        <f t="shared" si="55"/>
        <v>-999</v>
      </c>
      <c r="AZ71" s="149">
        <f t="shared" si="56"/>
        <v>-999</v>
      </c>
      <c r="BA71" s="75">
        <v>20.5</v>
      </c>
      <c r="BB71" s="55">
        <f t="shared" si="57"/>
        <v>0.20387150818401767</v>
      </c>
      <c r="BC71" s="55">
        <f t="shared" si="58"/>
        <v>8038.2549999999992</v>
      </c>
      <c r="BD71" s="136">
        <v>-999</v>
      </c>
      <c r="BE71" s="48">
        <v>-999</v>
      </c>
      <c r="BF71" s="48">
        <v>-999</v>
      </c>
      <c r="BG71" s="48">
        <v>-999</v>
      </c>
      <c r="BH71" s="48">
        <v>-999</v>
      </c>
      <c r="BI71" s="75">
        <v>21.7</v>
      </c>
      <c r="BJ71" s="81">
        <f t="shared" si="59"/>
        <v>8508.7870000000003</v>
      </c>
      <c r="BK71" s="55">
        <f t="shared" si="60"/>
        <v>0.20816455805863349</v>
      </c>
      <c r="BL71" s="136">
        <v>-999</v>
      </c>
      <c r="BM71" s="48">
        <v>-999</v>
      </c>
      <c r="BN71" s="48">
        <v>-999</v>
      </c>
      <c r="BO71" s="48">
        <v>-999</v>
      </c>
      <c r="BP71" s="48">
        <v>-999</v>
      </c>
      <c r="BQ71" s="75">
        <v>20</v>
      </c>
      <c r="BR71" s="81">
        <f t="shared" si="61"/>
        <v>7842.2000000000007</v>
      </c>
      <c r="BS71" s="55">
        <f t="shared" si="62"/>
        <v>0.20200216875742655</v>
      </c>
      <c r="BT71" s="73">
        <v>-999</v>
      </c>
      <c r="BU71" s="48">
        <v>-999</v>
      </c>
      <c r="BV71" s="55">
        <f t="shared" si="63"/>
        <v>-999</v>
      </c>
      <c r="BW71" s="48">
        <v>-999</v>
      </c>
      <c r="BX71" s="55">
        <f t="shared" si="64"/>
        <v>-999</v>
      </c>
      <c r="BY71" s="48">
        <v>-999</v>
      </c>
      <c r="BZ71" s="55">
        <f t="shared" si="65"/>
        <v>-999</v>
      </c>
      <c r="CA71" s="48">
        <v>-999</v>
      </c>
      <c r="CB71" s="55">
        <f t="shared" si="66"/>
        <v>-999</v>
      </c>
      <c r="CC71" s="48">
        <v>-999</v>
      </c>
      <c r="CD71" s="55">
        <f t="shared" si="67"/>
        <v>-999</v>
      </c>
      <c r="CE71" s="55">
        <v>-999</v>
      </c>
      <c r="CF71" s="129" t="s">
        <v>556</v>
      </c>
      <c r="CG71" s="32" t="b">
        <v>0</v>
      </c>
      <c r="CH71" s="10" t="b">
        <v>0</v>
      </c>
    </row>
    <row r="72" spans="1:86" s="10" customFormat="1" ht="21" customHeight="1">
      <c r="A72" s="10" t="s">
        <v>680</v>
      </c>
      <c r="B72" s="23" t="s">
        <v>440</v>
      </c>
      <c r="C72" s="7" t="s">
        <v>121</v>
      </c>
      <c r="D72" s="8">
        <v>2004</v>
      </c>
      <c r="E72" s="7" t="s">
        <v>704</v>
      </c>
      <c r="F72">
        <v>6</v>
      </c>
      <c r="G72" s="7">
        <v>3117</v>
      </c>
      <c r="H72" s="7" t="s">
        <v>29</v>
      </c>
      <c r="I72" s="7" t="s">
        <v>389</v>
      </c>
      <c r="J72" t="s">
        <v>522</v>
      </c>
      <c r="K72"/>
      <c r="L72" s="44">
        <v>50.048123195380178</v>
      </c>
      <c r="M72" s="9">
        <v>33.6</v>
      </c>
      <c r="N72" s="9">
        <v>-999</v>
      </c>
      <c r="O72" s="9">
        <v>23.2</v>
      </c>
      <c r="P72" s="9">
        <v>115.3</v>
      </c>
      <c r="Q72" s="9">
        <v>74.7</v>
      </c>
      <c r="R72" s="9">
        <v>106.2</v>
      </c>
      <c r="S72" s="100">
        <v>7.0000000000000009</v>
      </c>
      <c r="T72" s="101" t="s">
        <v>63</v>
      </c>
      <c r="U72" s="102">
        <v>22.5</v>
      </c>
      <c r="V72" s="101">
        <v>-999</v>
      </c>
      <c r="W72" s="102">
        <v>-999</v>
      </c>
      <c r="X72" s="101">
        <v>-999</v>
      </c>
      <c r="Y72" s="102">
        <v>-999</v>
      </c>
      <c r="Z72" s="101">
        <v>-999</v>
      </c>
      <c r="AA72" s="102">
        <v>24.3</v>
      </c>
      <c r="AB72" s="101" t="s">
        <v>122</v>
      </c>
      <c r="AC72" s="64">
        <v>18</v>
      </c>
      <c r="AD72" s="131">
        <f>AC72/28</f>
        <v>0.6428571428571429</v>
      </c>
      <c r="AE72" s="144">
        <f t="shared" si="46"/>
        <v>0.25</v>
      </c>
      <c r="AF72" s="146">
        <f t="shared" si="47"/>
        <v>0.50928571428571434</v>
      </c>
      <c r="AG72" s="9" t="b">
        <v>0</v>
      </c>
      <c r="AH72" s="9" t="b">
        <v>1</v>
      </c>
      <c r="AI72" s="9" t="b">
        <v>0</v>
      </c>
      <c r="AJ72" s="9" t="b">
        <v>0</v>
      </c>
      <c r="AK72" s="71" t="s">
        <v>190</v>
      </c>
      <c r="AL72" s="45">
        <v>-999</v>
      </c>
      <c r="AM72" s="44">
        <f t="shared" si="48"/>
        <v>-999</v>
      </c>
      <c r="AN72" s="149">
        <f t="shared" si="68"/>
        <v>-999</v>
      </c>
      <c r="AO72" s="45">
        <v>-999</v>
      </c>
      <c r="AP72" s="44">
        <f t="shared" si="49"/>
        <v>-999</v>
      </c>
      <c r="AQ72" s="149">
        <f t="shared" si="50"/>
        <v>-999</v>
      </c>
      <c r="AR72" s="45">
        <v>8.1</v>
      </c>
      <c r="AS72" s="44">
        <f t="shared" si="51"/>
        <v>0.48868821286547082</v>
      </c>
      <c r="AT72" s="149">
        <f t="shared" si="52"/>
        <v>252.477</v>
      </c>
      <c r="AU72" s="45">
        <v>0.2</v>
      </c>
      <c r="AV72" s="44">
        <f t="shared" si="53"/>
        <v>8.0022454339943774E-2</v>
      </c>
      <c r="AW72" s="149">
        <f t="shared" si="54"/>
        <v>6.234</v>
      </c>
      <c r="AX72" s="45">
        <v>0.15</v>
      </c>
      <c r="AY72" s="44">
        <f t="shared" si="55"/>
        <v>6.9318836247518598E-2</v>
      </c>
      <c r="AZ72" s="149">
        <f t="shared" si="56"/>
        <v>4.6755000000000004</v>
      </c>
      <c r="BA72" s="76">
        <v>8.9</v>
      </c>
      <c r="BB72" s="44">
        <f t="shared" si="57"/>
        <v>0.51001833680950903</v>
      </c>
      <c r="BC72" s="55">
        <f t="shared" si="58"/>
        <v>277.41300000000001</v>
      </c>
      <c r="BD72" s="137">
        <v>-999</v>
      </c>
      <c r="BE72" s="45">
        <v>-999</v>
      </c>
      <c r="BF72" s="45">
        <v>4.8</v>
      </c>
      <c r="BG72" s="45">
        <v>0</v>
      </c>
      <c r="BH72" s="45">
        <v>0.1</v>
      </c>
      <c r="BI72" s="76">
        <v>5.5</v>
      </c>
      <c r="BJ72" s="81">
        <f t="shared" si="59"/>
        <v>171.435</v>
      </c>
      <c r="BK72" s="44">
        <f t="shared" si="60"/>
        <v>0.40834650970995245</v>
      </c>
      <c r="BL72" s="137">
        <v>-999</v>
      </c>
      <c r="BM72" s="45">
        <v>-999</v>
      </c>
      <c r="BN72" s="45">
        <v>11.4</v>
      </c>
      <c r="BO72" s="45">
        <v>0.4</v>
      </c>
      <c r="BP72" s="45">
        <v>0.2</v>
      </c>
      <c r="BQ72" s="76">
        <v>12.3</v>
      </c>
      <c r="BR72" s="81">
        <f t="shared" si="61"/>
        <v>383.39100000000002</v>
      </c>
      <c r="BS72" s="44">
        <f t="shared" si="62"/>
        <v>0.58827982054204264</v>
      </c>
      <c r="BT72" s="71">
        <v>-999</v>
      </c>
      <c r="BU72" s="48">
        <v>-999</v>
      </c>
      <c r="BV72" s="44">
        <f t="shared" si="63"/>
        <v>-999</v>
      </c>
      <c r="BW72" s="48">
        <v>-999</v>
      </c>
      <c r="BX72" s="44">
        <f t="shared" si="64"/>
        <v>-999</v>
      </c>
      <c r="BY72" s="48">
        <v>-999</v>
      </c>
      <c r="BZ72" s="44">
        <f t="shared" si="65"/>
        <v>-999</v>
      </c>
      <c r="CA72" s="48">
        <v>-999</v>
      </c>
      <c r="CB72" s="44">
        <f t="shared" si="66"/>
        <v>-999</v>
      </c>
      <c r="CC72" s="48">
        <v>-999</v>
      </c>
      <c r="CD72" s="44">
        <f t="shared" si="67"/>
        <v>-999</v>
      </c>
      <c r="CE72" s="55">
        <v>-999</v>
      </c>
      <c r="CF72" s="129" t="s">
        <v>556</v>
      </c>
      <c r="CG72" s="32" t="b">
        <v>1</v>
      </c>
      <c r="CH72" s="10" t="b">
        <v>1</v>
      </c>
    </row>
    <row r="73" spans="1:86" s="10" customFormat="1" ht="21" customHeight="1">
      <c r="A73" s="32" t="s">
        <v>681</v>
      </c>
      <c r="B73" s="25" t="s">
        <v>499</v>
      </c>
      <c r="C73" s="7" t="s">
        <v>311</v>
      </c>
      <c r="D73" s="8" t="s">
        <v>699</v>
      </c>
      <c r="E73" s="30" t="s">
        <v>109</v>
      </c>
      <c r="F73" s="59">
        <v>4</v>
      </c>
      <c r="G73" s="30">
        <v>1059</v>
      </c>
      <c r="H73" s="30" t="s">
        <v>29</v>
      </c>
      <c r="I73" s="7" t="s">
        <v>389</v>
      </c>
      <c r="J73" s="59" t="s">
        <v>522</v>
      </c>
      <c r="K73" s="59"/>
      <c r="L73" s="44">
        <v>51.4</v>
      </c>
      <c r="M73" s="9">
        <v>50.5</v>
      </c>
      <c r="N73" s="9">
        <v>-999</v>
      </c>
      <c r="O73" s="9">
        <v>-999</v>
      </c>
      <c r="P73" s="9">
        <v>-999</v>
      </c>
      <c r="Q73" s="9">
        <v>-999</v>
      </c>
      <c r="R73" s="9">
        <v>84.9</v>
      </c>
      <c r="S73" s="100">
        <v>7.5</v>
      </c>
      <c r="T73" s="122">
        <v>-999</v>
      </c>
      <c r="U73" s="121">
        <v>31.5</v>
      </c>
      <c r="V73" s="120" t="s">
        <v>284</v>
      </c>
      <c r="W73" s="121">
        <v>-999</v>
      </c>
      <c r="X73" s="122">
        <v>-999</v>
      </c>
      <c r="Y73" s="121">
        <v>21.9</v>
      </c>
      <c r="Z73" s="122" t="s">
        <v>120</v>
      </c>
      <c r="AA73" s="121">
        <v>24.3</v>
      </c>
      <c r="AB73" s="122" t="s">
        <v>536</v>
      </c>
      <c r="AC73" s="64">
        <v>18</v>
      </c>
      <c r="AD73" s="131">
        <v>0.6428571428571429</v>
      </c>
      <c r="AE73" s="144">
        <f t="shared" si="46"/>
        <v>0</v>
      </c>
      <c r="AF73" s="146">
        <f t="shared" si="47"/>
        <v>0.42428571428571432</v>
      </c>
      <c r="AG73" s="34" t="b">
        <v>0</v>
      </c>
      <c r="AH73" s="34" t="b">
        <v>0</v>
      </c>
      <c r="AI73" s="34" t="b">
        <v>0</v>
      </c>
      <c r="AJ73" s="34" t="b">
        <v>0</v>
      </c>
      <c r="AK73" s="72" t="s">
        <v>190</v>
      </c>
      <c r="AL73" s="56">
        <v>-999</v>
      </c>
      <c r="AM73" s="55">
        <f t="shared" si="48"/>
        <v>-999</v>
      </c>
      <c r="AN73" s="149">
        <f t="shared" si="68"/>
        <v>-999</v>
      </c>
      <c r="AO73" s="56">
        <v>-999</v>
      </c>
      <c r="AP73" s="55">
        <f t="shared" si="49"/>
        <v>-999</v>
      </c>
      <c r="AQ73" s="149">
        <f t="shared" si="50"/>
        <v>-999</v>
      </c>
      <c r="AR73" s="56">
        <v>12.4</v>
      </c>
      <c r="AS73" s="55">
        <f t="shared" si="51"/>
        <v>1.0127795315878967</v>
      </c>
      <c r="AT73" s="149">
        <f t="shared" si="52"/>
        <v>131.316</v>
      </c>
      <c r="AU73" s="56">
        <v>0.7</v>
      </c>
      <c r="AV73" s="55">
        <f t="shared" si="53"/>
        <v>0.25619795816459073</v>
      </c>
      <c r="AW73" s="149">
        <f t="shared" si="54"/>
        <v>7.4129999999999994</v>
      </c>
      <c r="AX73" s="56">
        <v>0</v>
      </c>
      <c r="AY73" s="55">
        <f t="shared" si="55"/>
        <v>0</v>
      </c>
      <c r="AZ73" s="149">
        <f t="shared" si="56"/>
        <v>0</v>
      </c>
      <c r="BA73" s="77">
        <v>13.1</v>
      </c>
      <c r="BB73" s="55">
        <f t="shared" si="57"/>
        <v>1.036806129395841</v>
      </c>
      <c r="BC73" s="55">
        <f t="shared" si="58"/>
        <v>138.72900000000001</v>
      </c>
      <c r="BD73" s="136">
        <v>-999</v>
      </c>
      <c r="BE73" s="55">
        <v>-999</v>
      </c>
      <c r="BF73" s="55">
        <v>-999</v>
      </c>
      <c r="BG73" s="55">
        <v>-999</v>
      </c>
      <c r="BH73" s="55">
        <v>-999</v>
      </c>
      <c r="BI73" s="77">
        <v>-999</v>
      </c>
      <c r="BJ73" s="81">
        <f t="shared" si="59"/>
        <v>-999</v>
      </c>
      <c r="BK73" s="55">
        <f t="shared" si="60"/>
        <v>-999</v>
      </c>
      <c r="BL73" s="136">
        <v>-999</v>
      </c>
      <c r="BM73" s="55">
        <v>-999</v>
      </c>
      <c r="BN73" s="55">
        <v>-999</v>
      </c>
      <c r="BO73" s="55">
        <v>-999</v>
      </c>
      <c r="BP73" s="55">
        <v>-999</v>
      </c>
      <c r="BQ73" s="77">
        <v>-999</v>
      </c>
      <c r="BR73" s="81">
        <f t="shared" si="61"/>
        <v>-999</v>
      </c>
      <c r="BS73" s="55">
        <f t="shared" si="62"/>
        <v>-999</v>
      </c>
      <c r="BT73" s="73">
        <v>-999</v>
      </c>
      <c r="BU73" s="55">
        <v>-999</v>
      </c>
      <c r="BV73" s="55">
        <f t="shared" si="63"/>
        <v>-999</v>
      </c>
      <c r="BW73" s="55">
        <v>-999</v>
      </c>
      <c r="BX73" s="55">
        <f t="shared" si="64"/>
        <v>-999</v>
      </c>
      <c r="BY73" s="55">
        <v>-999</v>
      </c>
      <c r="BZ73" s="55">
        <f t="shared" si="65"/>
        <v>-999</v>
      </c>
      <c r="CA73" s="55">
        <v>-999</v>
      </c>
      <c r="CB73" s="55">
        <f t="shared" si="66"/>
        <v>-999</v>
      </c>
      <c r="CC73" s="55">
        <v>-999</v>
      </c>
      <c r="CD73" s="55">
        <f t="shared" si="67"/>
        <v>-999</v>
      </c>
      <c r="CE73" s="55">
        <v>-999</v>
      </c>
      <c r="CF73" s="129" t="s">
        <v>555</v>
      </c>
      <c r="CG73" s="32" t="b">
        <v>0</v>
      </c>
      <c r="CH73" s="7" t="b">
        <v>1</v>
      </c>
    </row>
    <row r="74" spans="1:86" s="10" customFormat="1" ht="21" customHeight="1">
      <c r="A74" s="30" t="s">
        <v>636</v>
      </c>
      <c r="B74" s="23" t="s">
        <v>441</v>
      </c>
      <c r="C74" s="23" t="s">
        <v>172</v>
      </c>
      <c r="D74" s="24">
        <v>2010</v>
      </c>
      <c r="E74" s="23" t="s">
        <v>177</v>
      </c>
      <c r="F74">
        <v>4</v>
      </c>
      <c r="G74" s="23">
        <v>4842</v>
      </c>
      <c r="H74" s="23" t="s">
        <v>29</v>
      </c>
      <c r="I74" s="23" t="s">
        <v>389</v>
      </c>
      <c r="J74" t="s">
        <v>522</v>
      </c>
      <c r="K74"/>
      <c r="L74" s="43">
        <v>58</v>
      </c>
      <c r="M74" s="26">
        <v>43.7</v>
      </c>
      <c r="N74" s="26">
        <v>-999</v>
      </c>
      <c r="O74" s="26">
        <v>25.9</v>
      </c>
      <c r="P74" s="26">
        <v>-999</v>
      </c>
      <c r="Q74" s="26">
        <v>-999</v>
      </c>
      <c r="R74" s="26">
        <v>-999</v>
      </c>
      <c r="S74" s="103">
        <v>9.1</v>
      </c>
      <c r="T74" s="104" t="s">
        <v>86</v>
      </c>
      <c r="U74" s="105">
        <v>32</v>
      </c>
      <c r="V74" s="104" t="s">
        <v>48</v>
      </c>
      <c r="W74" s="105">
        <v>12.9</v>
      </c>
      <c r="X74" s="104" t="s">
        <v>182</v>
      </c>
      <c r="Y74" s="105">
        <v>18.100000000000001</v>
      </c>
      <c r="Z74" s="104">
        <v>-999</v>
      </c>
      <c r="AA74" s="105">
        <v>23.7</v>
      </c>
      <c r="AB74" s="104">
        <v>-999</v>
      </c>
      <c r="AC74" s="63">
        <v>18</v>
      </c>
      <c r="AD74" s="131">
        <f>AC74/28</f>
        <v>0.6428571428571429</v>
      </c>
      <c r="AE74" s="144">
        <f t="shared" si="46"/>
        <v>0.5</v>
      </c>
      <c r="AF74" s="146">
        <f t="shared" si="47"/>
        <v>0.59428571428571431</v>
      </c>
      <c r="AG74" s="27" t="b">
        <v>0</v>
      </c>
      <c r="AH74" s="27" t="b">
        <v>1</v>
      </c>
      <c r="AI74" s="27" t="b">
        <v>1</v>
      </c>
      <c r="AJ74" s="27" t="b">
        <v>0</v>
      </c>
      <c r="AK74" s="71" t="s">
        <v>190</v>
      </c>
      <c r="AL74" s="43">
        <v>5.5</v>
      </c>
      <c r="AM74" s="44">
        <f t="shared" si="48"/>
        <v>0.3276309012210909</v>
      </c>
      <c r="AN74" s="149">
        <f t="shared" si="68"/>
        <v>266.31</v>
      </c>
      <c r="AO74" s="43">
        <v>5.5</v>
      </c>
      <c r="AP74" s="44">
        <f t="shared" si="49"/>
        <v>0.3276309012210909</v>
      </c>
      <c r="AQ74" s="149">
        <f t="shared" si="50"/>
        <v>266.31</v>
      </c>
      <c r="AR74" s="43">
        <v>4</v>
      </c>
      <c r="AS74" s="44">
        <f t="shared" si="51"/>
        <v>0.28161333752350515</v>
      </c>
      <c r="AT74" s="149">
        <f t="shared" si="52"/>
        <v>193.68</v>
      </c>
      <c r="AU74" s="43">
        <v>0</v>
      </c>
      <c r="AV74" s="44">
        <f t="shared" si="53"/>
        <v>0</v>
      </c>
      <c r="AW74" s="149">
        <f t="shared" si="54"/>
        <v>0</v>
      </c>
      <c r="AX74" s="43">
        <v>0</v>
      </c>
      <c r="AY74" s="44">
        <f t="shared" si="55"/>
        <v>0</v>
      </c>
      <c r="AZ74" s="149">
        <f t="shared" si="56"/>
        <v>0</v>
      </c>
      <c r="BA74" s="77">
        <v>15.2</v>
      </c>
      <c r="BB74" s="44">
        <f t="shared" si="57"/>
        <v>0.51594965637558576</v>
      </c>
      <c r="BC74" s="55">
        <f t="shared" si="58"/>
        <v>735.98400000000004</v>
      </c>
      <c r="BD74" s="138">
        <v>-999</v>
      </c>
      <c r="BE74" s="43">
        <v>-999</v>
      </c>
      <c r="BF74" s="43">
        <v>-999</v>
      </c>
      <c r="BG74" s="43">
        <v>-999</v>
      </c>
      <c r="BH74" s="43">
        <v>-999</v>
      </c>
      <c r="BI74" s="77">
        <v>12.9</v>
      </c>
      <c r="BJ74" s="81">
        <f t="shared" si="59"/>
        <v>624.61800000000005</v>
      </c>
      <c r="BK74" s="44">
        <f t="shared" si="60"/>
        <v>0.48171651980422303</v>
      </c>
      <c r="BL74" s="138">
        <v>-999</v>
      </c>
      <c r="BM74" s="43">
        <v>-999</v>
      </c>
      <c r="BN74" s="43">
        <v>-999</v>
      </c>
      <c r="BO74" s="43">
        <v>-999</v>
      </c>
      <c r="BP74" s="43">
        <v>-999</v>
      </c>
      <c r="BQ74" s="77">
        <v>15.4</v>
      </c>
      <c r="BR74" s="81">
        <f t="shared" si="61"/>
        <v>745.66800000000001</v>
      </c>
      <c r="BS74" s="44">
        <f t="shared" si="62"/>
        <v>0.5187201865845017</v>
      </c>
      <c r="BT74" s="71">
        <v>-999</v>
      </c>
      <c r="BU74" s="48">
        <v>-999</v>
      </c>
      <c r="BV74" s="44">
        <f t="shared" si="63"/>
        <v>-999</v>
      </c>
      <c r="BW74" s="48">
        <v>-999</v>
      </c>
      <c r="BX74" s="44">
        <f t="shared" si="64"/>
        <v>-999</v>
      </c>
      <c r="BY74" s="48">
        <v>-999</v>
      </c>
      <c r="BZ74" s="44">
        <f t="shared" si="65"/>
        <v>-999</v>
      </c>
      <c r="CA74" s="48">
        <v>-999</v>
      </c>
      <c r="CB74" s="44">
        <f t="shared" si="66"/>
        <v>-999</v>
      </c>
      <c r="CC74" s="48">
        <v>-999</v>
      </c>
      <c r="CD74" s="44">
        <f t="shared" si="67"/>
        <v>-999</v>
      </c>
      <c r="CE74" s="55">
        <v>-999</v>
      </c>
      <c r="CF74" s="129" t="s">
        <v>556</v>
      </c>
      <c r="CG74" s="32" t="b">
        <v>1</v>
      </c>
      <c r="CH74" s="10" t="b">
        <v>0</v>
      </c>
    </row>
    <row r="75" spans="1:86" s="10" customFormat="1" ht="21" customHeight="1">
      <c r="A75" s="32" t="s">
        <v>637</v>
      </c>
      <c r="B75" s="23" t="s">
        <v>500</v>
      </c>
      <c r="C75" s="7" t="s">
        <v>312</v>
      </c>
      <c r="D75" s="8">
        <v>2007</v>
      </c>
      <c r="E75" s="7" t="s">
        <v>109</v>
      </c>
      <c r="F75">
        <v>4</v>
      </c>
      <c r="G75" s="7">
        <v>3286</v>
      </c>
      <c r="H75" s="7" t="s">
        <v>29</v>
      </c>
      <c r="I75" s="7" t="s">
        <v>241</v>
      </c>
      <c r="J75" t="s">
        <v>523</v>
      </c>
      <c r="K75"/>
      <c r="L75" s="44">
        <v>56.6</v>
      </c>
      <c r="M75" s="9">
        <v>-999</v>
      </c>
      <c r="N75" s="9">
        <v>-999</v>
      </c>
      <c r="O75" s="9">
        <v>-999</v>
      </c>
      <c r="P75" s="9">
        <v>-999</v>
      </c>
      <c r="Q75" s="9">
        <v>-999</v>
      </c>
      <c r="R75" s="9">
        <v>-999</v>
      </c>
      <c r="S75" s="100">
        <v>-999</v>
      </c>
      <c r="T75" s="122">
        <v>-999</v>
      </c>
      <c r="U75" s="121">
        <v>-999</v>
      </c>
      <c r="V75" s="122">
        <v>-999</v>
      </c>
      <c r="W75" s="121">
        <v>-999</v>
      </c>
      <c r="X75" s="122">
        <v>-999</v>
      </c>
      <c r="Y75" s="121">
        <v>-999</v>
      </c>
      <c r="Z75" s="122">
        <v>-999</v>
      </c>
      <c r="AA75" s="121">
        <v>-999</v>
      </c>
      <c r="AB75" s="122">
        <v>-999</v>
      </c>
      <c r="AC75" s="64">
        <v>18</v>
      </c>
      <c r="AD75" s="131">
        <v>0.6428571428571429</v>
      </c>
      <c r="AE75" s="144">
        <f t="shared" si="46"/>
        <v>0.25</v>
      </c>
      <c r="AF75" s="146">
        <f t="shared" si="47"/>
        <v>0.50928571428571434</v>
      </c>
      <c r="AG75" s="34" t="b">
        <v>0</v>
      </c>
      <c r="AH75" s="34" t="b">
        <v>1</v>
      </c>
      <c r="AI75" s="34" t="b">
        <v>0</v>
      </c>
      <c r="AJ75" s="34" t="b">
        <v>0</v>
      </c>
      <c r="AK75" s="72" t="s">
        <v>190</v>
      </c>
      <c r="AL75" s="56">
        <v>-999</v>
      </c>
      <c r="AM75" s="55">
        <f t="shared" si="48"/>
        <v>-999</v>
      </c>
      <c r="AN75" s="149">
        <f t="shared" si="68"/>
        <v>-999</v>
      </c>
      <c r="AO75" s="56">
        <v>-999</v>
      </c>
      <c r="AP75" s="55">
        <f t="shared" si="49"/>
        <v>-999</v>
      </c>
      <c r="AQ75" s="149">
        <f t="shared" si="50"/>
        <v>-999</v>
      </c>
      <c r="AR75" s="56">
        <v>19.3</v>
      </c>
      <c r="AS75" s="55">
        <f t="shared" si="51"/>
        <v>0.68846464444180333</v>
      </c>
      <c r="AT75" s="149">
        <f t="shared" si="52"/>
        <v>634.19799999999998</v>
      </c>
      <c r="AU75" s="56">
        <v>1.65</v>
      </c>
      <c r="AV75" s="55">
        <f t="shared" si="53"/>
        <v>0.22222625867031326</v>
      </c>
      <c r="AW75" s="149">
        <f t="shared" si="54"/>
        <v>54.219000000000001</v>
      </c>
      <c r="AX75" s="56">
        <v>0.2</v>
      </c>
      <c r="AY75" s="55">
        <f t="shared" si="55"/>
        <v>7.7937503248819623E-2</v>
      </c>
      <c r="AZ75" s="149">
        <f t="shared" si="56"/>
        <v>6.5720000000000001</v>
      </c>
      <c r="BA75" s="77">
        <v>21.2</v>
      </c>
      <c r="BB75" s="55">
        <f t="shared" si="57"/>
        <v>0.71301269047205151</v>
      </c>
      <c r="BC75" s="55">
        <f t="shared" si="58"/>
        <v>696.63199999999995</v>
      </c>
      <c r="BD75" s="138">
        <v>-999</v>
      </c>
      <c r="BE75" s="56">
        <v>-999</v>
      </c>
      <c r="BF75" s="56">
        <v>18.100000000000001</v>
      </c>
      <c r="BG75" s="56">
        <v>1.5</v>
      </c>
      <c r="BH75" s="56">
        <v>0.4</v>
      </c>
      <c r="BI75" s="77">
        <v>20</v>
      </c>
      <c r="BJ75" s="81">
        <f t="shared" si="59"/>
        <v>657.2</v>
      </c>
      <c r="BK75" s="55">
        <f t="shared" si="60"/>
        <v>0.6977923626520518</v>
      </c>
      <c r="BL75" s="138">
        <v>-999</v>
      </c>
      <c r="BM75" s="56">
        <v>-999</v>
      </c>
      <c r="BN75" s="56">
        <v>20.100000000000001</v>
      </c>
      <c r="BO75" s="56">
        <v>1.9</v>
      </c>
      <c r="BP75" s="56">
        <v>0</v>
      </c>
      <c r="BQ75" s="77">
        <v>22</v>
      </c>
      <c r="BR75" s="81">
        <f t="shared" si="61"/>
        <v>722.92</v>
      </c>
      <c r="BS75" s="55">
        <f t="shared" si="62"/>
        <v>0.72264476717489534</v>
      </c>
      <c r="BT75" s="72">
        <v>-999</v>
      </c>
      <c r="BU75" s="56">
        <v>-999</v>
      </c>
      <c r="BV75" s="55">
        <f t="shared" si="63"/>
        <v>-999</v>
      </c>
      <c r="BW75" s="56">
        <v>-999</v>
      </c>
      <c r="BX75" s="55">
        <f t="shared" si="64"/>
        <v>-999</v>
      </c>
      <c r="BY75" s="56">
        <v>-999</v>
      </c>
      <c r="BZ75" s="55">
        <f t="shared" si="65"/>
        <v>-999</v>
      </c>
      <c r="CA75" s="56">
        <v>-999</v>
      </c>
      <c r="CB75" s="55">
        <f t="shared" si="66"/>
        <v>-999</v>
      </c>
      <c r="CC75" s="56">
        <v>-999</v>
      </c>
      <c r="CD75" s="55">
        <f t="shared" si="67"/>
        <v>-999</v>
      </c>
      <c r="CE75" s="56">
        <v>-999</v>
      </c>
      <c r="CF75" s="129" t="s">
        <v>555</v>
      </c>
      <c r="CG75" s="32" t="b">
        <v>0</v>
      </c>
      <c r="CH75" s="10" t="b">
        <v>0</v>
      </c>
    </row>
    <row r="76" spans="1:86" s="7" customFormat="1" ht="21" customHeight="1">
      <c r="A76" s="10" t="s">
        <v>638</v>
      </c>
      <c r="B76" s="23" t="s">
        <v>502</v>
      </c>
      <c r="C76" s="19" t="s">
        <v>568</v>
      </c>
      <c r="D76" s="11" t="s">
        <v>313</v>
      </c>
      <c r="E76" s="19" t="s">
        <v>133</v>
      </c>
      <c r="F76">
        <v>2</v>
      </c>
      <c r="G76" s="19">
        <v>1898</v>
      </c>
      <c r="H76" s="19" t="s">
        <v>29</v>
      </c>
      <c r="I76" s="19" t="s">
        <v>315</v>
      </c>
      <c r="J76" t="s">
        <v>528</v>
      </c>
      <c r="K76" t="s">
        <v>527</v>
      </c>
      <c r="L76" s="47">
        <v>53</v>
      </c>
      <c r="M76" s="37">
        <v>46</v>
      </c>
      <c r="N76" s="37">
        <v>-999</v>
      </c>
      <c r="O76" s="37">
        <v>28</v>
      </c>
      <c r="P76" s="37">
        <v>-999</v>
      </c>
      <c r="Q76" s="37">
        <v>-999</v>
      </c>
      <c r="R76" s="37">
        <v>76.900000000000006</v>
      </c>
      <c r="S76" s="111">
        <v>9</v>
      </c>
      <c r="T76" s="112" t="s">
        <v>281</v>
      </c>
      <c r="U76" s="113">
        <v>12</v>
      </c>
      <c r="V76" s="112" t="s">
        <v>284</v>
      </c>
      <c r="W76" s="113">
        <v>-999</v>
      </c>
      <c r="X76" s="112">
        <v>-999</v>
      </c>
      <c r="Y76" s="113">
        <v>-999</v>
      </c>
      <c r="Z76" s="112">
        <v>-999</v>
      </c>
      <c r="AA76" s="113">
        <v>41</v>
      </c>
      <c r="AB76" s="112" t="s">
        <v>25</v>
      </c>
      <c r="AC76" s="64">
        <v>23</v>
      </c>
      <c r="AD76" s="131">
        <v>0.8214285714285714</v>
      </c>
      <c r="AE76" s="144">
        <f t="shared" si="46"/>
        <v>0.25</v>
      </c>
      <c r="AF76" s="146">
        <f t="shared" si="47"/>
        <v>0.62714285714285711</v>
      </c>
      <c r="AG76" s="29" t="b">
        <v>0</v>
      </c>
      <c r="AH76" s="29" t="b">
        <v>0</v>
      </c>
      <c r="AI76" s="29" t="b">
        <v>1</v>
      </c>
      <c r="AJ76" s="29" t="b">
        <v>0</v>
      </c>
      <c r="AK76" s="73" t="s">
        <v>190</v>
      </c>
      <c r="AL76" s="48">
        <v>-999</v>
      </c>
      <c r="AM76" s="55">
        <f t="shared" si="48"/>
        <v>-999</v>
      </c>
      <c r="AN76" s="149">
        <f t="shared" si="68"/>
        <v>-999</v>
      </c>
      <c r="AO76" s="48">
        <v>-999</v>
      </c>
      <c r="AP76" s="55">
        <f t="shared" si="49"/>
        <v>-999</v>
      </c>
      <c r="AQ76" s="149">
        <f t="shared" si="50"/>
        <v>-999</v>
      </c>
      <c r="AR76" s="48">
        <v>3.6</v>
      </c>
      <c r="AS76" s="55">
        <f t="shared" si="51"/>
        <v>0.42760390562455586</v>
      </c>
      <c r="AT76" s="149">
        <f t="shared" si="52"/>
        <v>68.328000000000003</v>
      </c>
      <c r="AU76" s="48">
        <v>0.1</v>
      </c>
      <c r="AV76" s="55">
        <f t="shared" si="53"/>
        <v>7.2549536145602236E-2</v>
      </c>
      <c r="AW76" s="149">
        <f t="shared" si="54"/>
        <v>1.8980000000000001</v>
      </c>
      <c r="AX76" s="48">
        <v>0</v>
      </c>
      <c r="AY76" s="55">
        <f t="shared" si="55"/>
        <v>0</v>
      </c>
      <c r="AZ76" s="149">
        <f t="shared" si="56"/>
        <v>0</v>
      </c>
      <c r="BA76" s="75">
        <v>3.7</v>
      </c>
      <c r="BB76" s="55">
        <f t="shared" si="57"/>
        <v>0.43327726529279098</v>
      </c>
      <c r="BC76" s="55">
        <f t="shared" si="58"/>
        <v>70.226000000000013</v>
      </c>
      <c r="BD76" s="136">
        <v>-999</v>
      </c>
      <c r="BE76" s="48">
        <v>-999</v>
      </c>
      <c r="BF76" s="48">
        <v>-999</v>
      </c>
      <c r="BG76" s="48">
        <v>-999</v>
      </c>
      <c r="BH76" s="48">
        <v>-999</v>
      </c>
      <c r="BI76" s="75">
        <v>-999</v>
      </c>
      <c r="BJ76" s="81">
        <f t="shared" si="59"/>
        <v>-999</v>
      </c>
      <c r="BK76" s="55">
        <f t="shared" si="60"/>
        <v>-999</v>
      </c>
      <c r="BL76" s="136">
        <v>-999</v>
      </c>
      <c r="BM76" s="48">
        <v>-999</v>
      </c>
      <c r="BN76" s="48">
        <v>-999</v>
      </c>
      <c r="BO76" s="48">
        <v>-999</v>
      </c>
      <c r="BP76" s="48">
        <v>-999</v>
      </c>
      <c r="BQ76" s="75">
        <v>-999</v>
      </c>
      <c r="BR76" s="81">
        <f t="shared" si="61"/>
        <v>-999</v>
      </c>
      <c r="BS76" s="55">
        <f t="shared" si="62"/>
        <v>-999</v>
      </c>
      <c r="BT76" s="73" t="s">
        <v>192</v>
      </c>
      <c r="BU76" s="48">
        <v>-999</v>
      </c>
      <c r="BV76" s="55">
        <f t="shared" si="63"/>
        <v>-999</v>
      </c>
      <c r="BW76" s="48">
        <v>-999</v>
      </c>
      <c r="BX76" s="55">
        <f t="shared" si="64"/>
        <v>-999</v>
      </c>
      <c r="BY76" s="48">
        <v>1.1000000000000001</v>
      </c>
      <c r="BZ76" s="55">
        <f t="shared" si="65"/>
        <v>0.23941225890812273</v>
      </c>
      <c r="CA76" s="48">
        <v>0.1</v>
      </c>
      <c r="CB76" s="55">
        <f t="shared" si="66"/>
        <v>7.2549536145602236E-2</v>
      </c>
      <c r="CC76" s="48">
        <v>0</v>
      </c>
      <c r="CD76" s="55">
        <f t="shared" si="67"/>
        <v>0</v>
      </c>
      <c r="CE76" s="55">
        <v>1.2</v>
      </c>
      <c r="CF76" s="129" t="s">
        <v>555</v>
      </c>
      <c r="CG76" s="32" t="b">
        <v>0</v>
      </c>
      <c r="CH76" s="7" t="b">
        <v>0</v>
      </c>
    </row>
    <row r="77" spans="1:86" s="7" customFormat="1" ht="21" customHeight="1">
      <c r="A77" s="10" t="s">
        <v>638</v>
      </c>
      <c r="B77" s="23" t="s">
        <v>501</v>
      </c>
      <c r="C77" s="19" t="s">
        <v>567</v>
      </c>
      <c r="D77" s="11" t="s">
        <v>313</v>
      </c>
      <c r="E77" s="19" t="s">
        <v>133</v>
      </c>
      <c r="F77">
        <v>2</v>
      </c>
      <c r="G77" s="19">
        <v>1651</v>
      </c>
      <c r="H77" s="19" t="s">
        <v>29</v>
      </c>
      <c r="I77" s="19" t="s">
        <v>314</v>
      </c>
      <c r="J77" t="s">
        <v>528</v>
      </c>
      <c r="K77" t="s">
        <v>527</v>
      </c>
      <c r="L77" s="47">
        <v>61</v>
      </c>
      <c r="M77" s="37">
        <v>45</v>
      </c>
      <c r="N77" s="37">
        <v>-999</v>
      </c>
      <c r="O77" s="37">
        <v>31</v>
      </c>
      <c r="P77" s="37">
        <v>-999</v>
      </c>
      <c r="Q77" s="37">
        <v>-999</v>
      </c>
      <c r="R77" s="37">
        <v>83.1</v>
      </c>
      <c r="S77" s="111">
        <v>14</v>
      </c>
      <c r="T77" s="112" t="s">
        <v>281</v>
      </c>
      <c r="U77" s="113">
        <v>30</v>
      </c>
      <c r="V77" s="112" t="s">
        <v>284</v>
      </c>
      <c r="W77" s="113">
        <v>-999</v>
      </c>
      <c r="X77" s="112">
        <v>-999</v>
      </c>
      <c r="Y77" s="113">
        <v>-999</v>
      </c>
      <c r="Z77" s="112">
        <v>-999</v>
      </c>
      <c r="AA77" s="113">
        <v>40</v>
      </c>
      <c r="AB77" s="112" t="s">
        <v>25</v>
      </c>
      <c r="AC77" s="64">
        <v>23</v>
      </c>
      <c r="AD77" s="131">
        <v>0.8214285714285714</v>
      </c>
      <c r="AE77" s="144">
        <f t="shared" si="46"/>
        <v>0.25</v>
      </c>
      <c r="AF77" s="146">
        <f t="shared" si="47"/>
        <v>0.62714285714285711</v>
      </c>
      <c r="AG77" s="29" t="b">
        <v>0</v>
      </c>
      <c r="AH77" s="29" t="b">
        <v>0</v>
      </c>
      <c r="AI77" s="29" t="b">
        <v>1</v>
      </c>
      <c r="AJ77" s="29" t="b">
        <v>0</v>
      </c>
      <c r="AK77" s="73" t="s">
        <v>190</v>
      </c>
      <c r="AL77" s="48">
        <v>-999</v>
      </c>
      <c r="AM77" s="55">
        <f t="shared" si="48"/>
        <v>-999</v>
      </c>
      <c r="AN77" s="149">
        <f t="shared" si="68"/>
        <v>-999</v>
      </c>
      <c r="AO77" s="48">
        <v>-999</v>
      </c>
      <c r="AP77" s="55">
        <f t="shared" si="49"/>
        <v>-999</v>
      </c>
      <c r="AQ77" s="149">
        <f t="shared" si="50"/>
        <v>-999</v>
      </c>
      <c r="AR77" s="48">
        <v>1.3</v>
      </c>
      <c r="AS77" s="55">
        <f t="shared" si="51"/>
        <v>0.2787768559853398</v>
      </c>
      <c r="AT77" s="149">
        <f t="shared" si="52"/>
        <v>21.463000000000001</v>
      </c>
      <c r="AU77" s="48">
        <v>0.6</v>
      </c>
      <c r="AV77" s="55">
        <f t="shared" si="53"/>
        <v>0.19006199377543156</v>
      </c>
      <c r="AW77" s="149">
        <f t="shared" si="54"/>
        <v>9.9060000000000006</v>
      </c>
      <c r="AX77" s="48">
        <v>0</v>
      </c>
      <c r="AY77" s="55">
        <f t="shared" si="55"/>
        <v>0</v>
      </c>
      <c r="AZ77" s="149">
        <f t="shared" si="56"/>
        <v>0</v>
      </c>
      <c r="BA77" s="75">
        <v>1.9</v>
      </c>
      <c r="BB77" s="55">
        <f t="shared" si="57"/>
        <v>0.3359988318747541</v>
      </c>
      <c r="BC77" s="55">
        <f t="shared" si="58"/>
        <v>31.369</v>
      </c>
      <c r="BD77" s="136">
        <v>-999</v>
      </c>
      <c r="BE77" s="48">
        <v>-999</v>
      </c>
      <c r="BF77" s="48">
        <v>-999</v>
      </c>
      <c r="BG77" s="48">
        <v>-999</v>
      </c>
      <c r="BH77" s="48">
        <v>-999</v>
      </c>
      <c r="BI77" s="75">
        <v>-999</v>
      </c>
      <c r="BJ77" s="81">
        <f t="shared" si="59"/>
        <v>-999</v>
      </c>
      <c r="BK77" s="55">
        <f t="shared" si="60"/>
        <v>-999</v>
      </c>
      <c r="BL77" s="136">
        <v>-999</v>
      </c>
      <c r="BM77" s="48">
        <v>-999</v>
      </c>
      <c r="BN77" s="48">
        <v>-999</v>
      </c>
      <c r="BO77" s="48">
        <v>-999</v>
      </c>
      <c r="BP77" s="48">
        <v>-999</v>
      </c>
      <c r="BQ77" s="75">
        <v>-999</v>
      </c>
      <c r="BR77" s="81">
        <f t="shared" si="61"/>
        <v>-999</v>
      </c>
      <c r="BS77" s="55">
        <f t="shared" si="62"/>
        <v>-999</v>
      </c>
      <c r="BT77" s="73" t="s">
        <v>192</v>
      </c>
      <c r="BU77" s="48">
        <v>-999</v>
      </c>
      <c r="BV77" s="55">
        <f t="shared" si="63"/>
        <v>-999</v>
      </c>
      <c r="BW77" s="48">
        <v>-999</v>
      </c>
      <c r="BX77" s="55">
        <f t="shared" si="64"/>
        <v>-999</v>
      </c>
      <c r="BY77" s="48">
        <v>0.7</v>
      </c>
      <c r="BZ77" s="55">
        <f t="shared" si="65"/>
        <v>0.20518712559808747</v>
      </c>
      <c r="CA77" s="48">
        <v>0.6</v>
      </c>
      <c r="CB77" s="55">
        <f t="shared" si="66"/>
        <v>0.19006199377543156</v>
      </c>
      <c r="CC77" s="48">
        <v>0</v>
      </c>
      <c r="CD77" s="55">
        <f t="shared" si="67"/>
        <v>0</v>
      </c>
      <c r="CE77" s="55">
        <v>1.3</v>
      </c>
      <c r="CF77" s="129" t="s">
        <v>555</v>
      </c>
      <c r="CG77" s="32" t="b">
        <v>0</v>
      </c>
      <c r="CH77" s="7" t="b">
        <v>0</v>
      </c>
    </row>
    <row r="78" spans="1:86" s="7" customFormat="1" ht="21" customHeight="1">
      <c r="A78" s="32" t="s">
        <v>682</v>
      </c>
      <c r="B78" s="23" t="s">
        <v>442</v>
      </c>
      <c r="C78" s="13" t="s">
        <v>114</v>
      </c>
      <c r="D78" s="14">
        <v>2000</v>
      </c>
      <c r="E78" s="15" t="s">
        <v>115</v>
      </c>
      <c r="F78">
        <v>5</v>
      </c>
      <c r="G78" s="15">
        <v>5146</v>
      </c>
      <c r="H78" s="15" t="s">
        <v>29</v>
      </c>
      <c r="I78" s="15" t="s">
        <v>390</v>
      </c>
      <c r="J78" t="s">
        <v>527</v>
      </c>
      <c r="K78"/>
      <c r="L78" s="46">
        <v>51</v>
      </c>
      <c r="M78" s="16">
        <v>50.5</v>
      </c>
      <c r="N78" s="16">
        <v>60.2</v>
      </c>
      <c r="O78" s="16">
        <v>24.2</v>
      </c>
      <c r="P78" s="16">
        <v>120.5</v>
      </c>
      <c r="Q78" s="16">
        <v>76.5</v>
      </c>
      <c r="R78" s="16">
        <v>97.2</v>
      </c>
      <c r="S78" s="106">
        <v>10.199999999999999</v>
      </c>
      <c r="T78" s="107" t="s">
        <v>116</v>
      </c>
      <c r="U78" s="108">
        <v>18.899999999999999</v>
      </c>
      <c r="V78" s="107" t="s">
        <v>36</v>
      </c>
      <c r="W78" s="108">
        <v>-999</v>
      </c>
      <c r="X78" s="107">
        <v>-999</v>
      </c>
      <c r="Y78" s="108">
        <v>-999</v>
      </c>
      <c r="Z78" s="107">
        <v>-999</v>
      </c>
      <c r="AA78" s="108">
        <v>23.8</v>
      </c>
      <c r="AB78" s="107">
        <v>-999</v>
      </c>
      <c r="AC78" s="65">
        <v>15</v>
      </c>
      <c r="AD78" s="131">
        <f>AC78/28</f>
        <v>0.5357142857142857</v>
      </c>
      <c r="AE78" s="144">
        <f t="shared" si="46"/>
        <v>0.25</v>
      </c>
      <c r="AF78" s="146">
        <f t="shared" si="47"/>
        <v>0.43857142857142861</v>
      </c>
      <c r="AG78" s="16" t="b">
        <v>0</v>
      </c>
      <c r="AH78" s="16" t="b">
        <v>0</v>
      </c>
      <c r="AI78" s="16" t="b">
        <v>1</v>
      </c>
      <c r="AJ78" s="16" t="b">
        <v>0</v>
      </c>
      <c r="AK78" s="71" t="s">
        <v>190</v>
      </c>
      <c r="AL78" s="46">
        <v>-999</v>
      </c>
      <c r="AM78" s="44">
        <f t="shared" si="48"/>
        <v>-999</v>
      </c>
      <c r="AN78" s="149">
        <f t="shared" si="68"/>
        <v>-999</v>
      </c>
      <c r="AO78" s="46">
        <v>-999</v>
      </c>
      <c r="AP78" s="44">
        <f t="shared" si="49"/>
        <v>-999</v>
      </c>
      <c r="AQ78" s="149">
        <f t="shared" si="50"/>
        <v>-999</v>
      </c>
      <c r="AR78" s="46">
        <v>-999</v>
      </c>
      <c r="AS78" s="44">
        <f t="shared" si="51"/>
        <v>-999</v>
      </c>
      <c r="AT78" s="149">
        <f t="shared" si="52"/>
        <v>-999</v>
      </c>
      <c r="AU78" s="46">
        <v>-999</v>
      </c>
      <c r="AV78" s="44">
        <f t="shared" si="53"/>
        <v>-999</v>
      </c>
      <c r="AW78" s="149">
        <f t="shared" si="54"/>
        <v>-999</v>
      </c>
      <c r="AX78" s="46">
        <v>-999</v>
      </c>
      <c r="AY78" s="44">
        <f t="shared" si="55"/>
        <v>-999</v>
      </c>
      <c r="AZ78" s="149">
        <f t="shared" si="56"/>
        <v>-999</v>
      </c>
      <c r="BA78" s="76">
        <v>16.3</v>
      </c>
      <c r="BB78" s="44">
        <f t="shared" si="57"/>
        <v>0.51489851614440574</v>
      </c>
      <c r="BC78" s="55">
        <f t="shared" si="58"/>
        <v>838.798</v>
      </c>
      <c r="BD78" s="139">
        <v>-999</v>
      </c>
      <c r="BE78" s="46">
        <v>-999</v>
      </c>
      <c r="BF78" s="46">
        <v>-999</v>
      </c>
      <c r="BG78" s="46">
        <v>-999</v>
      </c>
      <c r="BH78" s="46">
        <v>-999</v>
      </c>
      <c r="BI78" s="76">
        <v>-999</v>
      </c>
      <c r="BJ78" s="81">
        <f t="shared" si="59"/>
        <v>-999</v>
      </c>
      <c r="BK78" s="44">
        <f t="shared" si="60"/>
        <v>-999</v>
      </c>
      <c r="BL78" s="139">
        <v>-999</v>
      </c>
      <c r="BM78" s="46">
        <v>-999</v>
      </c>
      <c r="BN78" s="46">
        <v>-999</v>
      </c>
      <c r="BO78" s="46">
        <v>-999</v>
      </c>
      <c r="BP78" s="46">
        <v>-999</v>
      </c>
      <c r="BQ78" s="76">
        <v>-999</v>
      </c>
      <c r="BR78" s="81">
        <f t="shared" si="61"/>
        <v>-999</v>
      </c>
      <c r="BS78" s="44">
        <f t="shared" si="62"/>
        <v>-999</v>
      </c>
      <c r="BT78" s="71">
        <v>-999</v>
      </c>
      <c r="BU78" s="48">
        <v>-999</v>
      </c>
      <c r="BV78" s="44">
        <f t="shared" si="63"/>
        <v>-999</v>
      </c>
      <c r="BW78" s="48">
        <v>-999</v>
      </c>
      <c r="BX78" s="44">
        <f t="shared" si="64"/>
        <v>-999</v>
      </c>
      <c r="BY78" s="48">
        <v>-999</v>
      </c>
      <c r="BZ78" s="44">
        <f t="shared" si="65"/>
        <v>-999</v>
      </c>
      <c r="CA78" s="48">
        <v>-999</v>
      </c>
      <c r="CB78" s="44">
        <f t="shared" si="66"/>
        <v>-999</v>
      </c>
      <c r="CC78" s="48">
        <v>-999</v>
      </c>
      <c r="CD78" s="44">
        <f t="shared" si="67"/>
        <v>-999</v>
      </c>
      <c r="CE78" s="55">
        <v>-999</v>
      </c>
      <c r="CF78" s="129" t="s">
        <v>555</v>
      </c>
      <c r="CG78" s="32" t="b">
        <v>1</v>
      </c>
      <c r="CH78" s="7" t="b">
        <v>1</v>
      </c>
    </row>
    <row r="79" spans="1:86" s="7" customFormat="1" ht="21" customHeight="1">
      <c r="A79" s="10" t="s">
        <v>639</v>
      </c>
      <c r="B79" s="23" t="s">
        <v>503</v>
      </c>
      <c r="C79" s="19" t="s">
        <v>316</v>
      </c>
      <c r="D79" s="11" t="s">
        <v>317</v>
      </c>
      <c r="E79" s="19" t="s">
        <v>701</v>
      </c>
      <c r="F79">
        <v>4</v>
      </c>
      <c r="G79" s="19">
        <f>2810+3111</f>
        <v>5921</v>
      </c>
      <c r="H79" s="19" t="s">
        <v>29</v>
      </c>
      <c r="I79" s="19" t="s">
        <v>318</v>
      </c>
      <c r="J79" t="s">
        <v>527</v>
      </c>
      <c r="K79"/>
      <c r="L79" s="47">
        <v>52.5</v>
      </c>
      <c r="M79" s="37">
        <v>53</v>
      </c>
      <c r="N79" s="37">
        <v>-999</v>
      </c>
      <c r="O79" s="37">
        <v>25.8</v>
      </c>
      <c r="P79" s="37">
        <v>-999</v>
      </c>
      <c r="Q79" s="37">
        <v>-999</v>
      </c>
      <c r="R79" s="37">
        <v>79.900000000000006</v>
      </c>
      <c r="S79" s="111">
        <v>6.6</v>
      </c>
      <c r="T79" s="112" t="s">
        <v>319</v>
      </c>
      <c r="U79" s="113">
        <v>35.799999999999997</v>
      </c>
      <c r="V79" s="112" t="s">
        <v>284</v>
      </c>
      <c r="W79" s="113">
        <v>7.3</v>
      </c>
      <c r="X79" s="112" t="s">
        <v>43</v>
      </c>
      <c r="Y79" s="113">
        <v>15.6</v>
      </c>
      <c r="Z79" s="112" t="s">
        <v>120</v>
      </c>
      <c r="AA79" s="113">
        <v>26.9</v>
      </c>
      <c r="AB79" s="112" t="s">
        <v>25</v>
      </c>
      <c r="AC79" s="64">
        <v>23</v>
      </c>
      <c r="AD79" s="131">
        <v>0.8214285714285714</v>
      </c>
      <c r="AE79" s="144">
        <f t="shared" si="46"/>
        <v>0.5</v>
      </c>
      <c r="AF79" s="146">
        <f t="shared" si="47"/>
        <v>0.71214285714285719</v>
      </c>
      <c r="AG79" s="29" t="b">
        <v>0</v>
      </c>
      <c r="AH79" s="29" t="b">
        <v>1</v>
      </c>
      <c r="AI79" s="29" t="b">
        <v>0</v>
      </c>
      <c r="AJ79" s="29" t="b">
        <v>1</v>
      </c>
      <c r="AK79" s="73" t="s">
        <v>190</v>
      </c>
      <c r="AL79" s="48">
        <v>1.47</v>
      </c>
      <c r="AM79" s="55">
        <f t="shared" si="48"/>
        <v>0.15640310772508059</v>
      </c>
      <c r="AN79" s="149">
        <f t="shared" si="68"/>
        <v>87.038699999999992</v>
      </c>
      <c r="AO79" s="48">
        <v>3.85</v>
      </c>
      <c r="AP79" s="55">
        <f t="shared" si="49"/>
        <v>0.25003884177236491</v>
      </c>
      <c r="AQ79" s="149">
        <f t="shared" si="50"/>
        <v>227.95849999999999</v>
      </c>
      <c r="AR79" s="48">
        <v>8.2899999999999991</v>
      </c>
      <c r="AS79" s="55">
        <f t="shared" si="51"/>
        <v>0.35833405275330404</v>
      </c>
      <c r="AT79" s="149">
        <f t="shared" si="52"/>
        <v>490.85089999999991</v>
      </c>
      <c r="AU79" s="48">
        <v>0.61</v>
      </c>
      <c r="AV79" s="55">
        <f t="shared" si="53"/>
        <v>0.10119026476976414</v>
      </c>
      <c r="AW79" s="149">
        <f t="shared" si="54"/>
        <v>36.118099999999998</v>
      </c>
      <c r="AX79" s="48">
        <v>0.05</v>
      </c>
      <c r="AY79" s="55">
        <f t="shared" si="55"/>
        <v>2.9052189671497468E-2</v>
      </c>
      <c r="AZ79" s="149">
        <f t="shared" si="56"/>
        <v>2.9605000000000001</v>
      </c>
      <c r="BA79" s="75">
        <v>13.8</v>
      </c>
      <c r="BB79" s="55">
        <f t="shared" si="57"/>
        <v>0.44822455587699933</v>
      </c>
      <c r="BC79" s="55">
        <f t="shared" si="58"/>
        <v>817.09800000000007</v>
      </c>
      <c r="BD79" s="136">
        <v>-999</v>
      </c>
      <c r="BE79" s="48">
        <v>-999</v>
      </c>
      <c r="BF79" s="48">
        <v>-999</v>
      </c>
      <c r="BG79" s="48">
        <v>-999</v>
      </c>
      <c r="BH79" s="48">
        <v>-999</v>
      </c>
      <c r="BI79" s="75">
        <v>-999</v>
      </c>
      <c r="BJ79" s="81">
        <f t="shared" si="59"/>
        <v>-999</v>
      </c>
      <c r="BK79" s="55">
        <f t="shared" si="60"/>
        <v>-999</v>
      </c>
      <c r="BL79" s="136">
        <v>-999</v>
      </c>
      <c r="BM79" s="48">
        <v>-999</v>
      </c>
      <c r="BN79" s="48">
        <v>-999</v>
      </c>
      <c r="BO79" s="48">
        <v>-999</v>
      </c>
      <c r="BP79" s="48">
        <v>-999</v>
      </c>
      <c r="BQ79" s="75">
        <v>-999</v>
      </c>
      <c r="BR79" s="81">
        <f t="shared" si="61"/>
        <v>-999</v>
      </c>
      <c r="BS79" s="55">
        <f t="shared" si="62"/>
        <v>-999</v>
      </c>
      <c r="BT79" s="73" t="s">
        <v>192</v>
      </c>
      <c r="BU79" s="48">
        <v>2.34</v>
      </c>
      <c r="BV79" s="55">
        <f t="shared" si="63"/>
        <v>0.19645756557531302</v>
      </c>
      <c r="BW79" s="48">
        <v>3.2</v>
      </c>
      <c r="BX79" s="55">
        <f t="shared" si="64"/>
        <v>0.2287257905195117</v>
      </c>
      <c r="BY79" s="48">
        <v>4.3099999999999996</v>
      </c>
      <c r="BZ79" s="55">
        <f t="shared" si="65"/>
        <v>0.26392126358582985</v>
      </c>
      <c r="CA79" s="48">
        <v>0.1</v>
      </c>
      <c r="CB79" s="55">
        <f t="shared" si="66"/>
        <v>4.1075722726041528E-2</v>
      </c>
      <c r="CC79" s="48">
        <v>0.05</v>
      </c>
      <c r="CD79" s="55">
        <f t="shared" si="67"/>
        <v>2.9052189671497468E-2</v>
      </c>
      <c r="CE79" s="55">
        <v>10</v>
      </c>
      <c r="CF79" s="129" t="s">
        <v>556</v>
      </c>
      <c r="CG79" s="32" t="b">
        <v>1</v>
      </c>
      <c r="CH79" s="7" t="b">
        <v>0</v>
      </c>
    </row>
    <row r="80" spans="1:86" s="7" customFormat="1" ht="21" customHeight="1">
      <c r="A80" s="7" t="s">
        <v>640</v>
      </c>
      <c r="B80" s="23" t="s">
        <v>504</v>
      </c>
      <c r="C80" s="19" t="s">
        <v>320</v>
      </c>
      <c r="D80" s="11" t="s">
        <v>699</v>
      </c>
      <c r="E80" s="19" t="s">
        <v>321</v>
      </c>
      <c r="F80">
        <v>6</v>
      </c>
      <c r="G80" s="19">
        <v>9412</v>
      </c>
      <c r="H80" s="19" t="s">
        <v>23</v>
      </c>
      <c r="I80" s="19" t="s">
        <v>322</v>
      </c>
      <c r="J80" t="s">
        <v>527</v>
      </c>
      <c r="K80" t="s">
        <v>524</v>
      </c>
      <c r="L80" s="47">
        <v>64.099999999999994</v>
      </c>
      <c r="M80" s="37">
        <v>43.3</v>
      </c>
      <c r="N80" s="37">
        <v>-999</v>
      </c>
      <c r="O80" s="37">
        <v>-999</v>
      </c>
      <c r="P80" s="37">
        <v>-999</v>
      </c>
      <c r="Q80" s="37">
        <v>-999</v>
      </c>
      <c r="R80" s="37">
        <v>-999</v>
      </c>
      <c r="S80" s="111">
        <v>3.5</v>
      </c>
      <c r="T80" s="112" t="s">
        <v>304</v>
      </c>
      <c r="U80" s="113">
        <v>15</v>
      </c>
      <c r="V80" s="112" t="s">
        <v>284</v>
      </c>
      <c r="W80" s="113">
        <v>3</v>
      </c>
      <c r="X80" s="123" t="s">
        <v>65</v>
      </c>
      <c r="Y80" s="113">
        <v>32.5</v>
      </c>
      <c r="Z80" s="112" t="s">
        <v>323</v>
      </c>
      <c r="AA80" s="113">
        <v>19.8</v>
      </c>
      <c r="AB80" s="112" t="s">
        <v>25</v>
      </c>
      <c r="AC80" s="64">
        <v>18</v>
      </c>
      <c r="AD80" s="131">
        <v>0.6428571428571429</v>
      </c>
      <c r="AE80" s="144">
        <f t="shared" si="46"/>
        <v>0.25</v>
      </c>
      <c r="AF80" s="146">
        <f t="shared" si="47"/>
        <v>0.50928571428571434</v>
      </c>
      <c r="AG80" s="29" t="b">
        <v>0</v>
      </c>
      <c r="AH80" s="29" t="b">
        <v>1</v>
      </c>
      <c r="AI80" s="29" t="b">
        <v>0</v>
      </c>
      <c r="AJ80" s="29" t="b">
        <v>0</v>
      </c>
      <c r="AK80" s="73" t="s">
        <v>190</v>
      </c>
      <c r="AL80" s="48">
        <v>-999</v>
      </c>
      <c r="AM80" s="55">
        <f t="shared" si="48"/>
        <v>-999</v>
      </c>
      <c r="AN80" s="149">
        <f t="shared" si="68"/>
        <v>-999</v>
      </c>
      <c r="AO80" s="48">
        <v>-999</v>
      </c>
      <c r="AP80" s="55">
        <f t="shared" si="49"/>
        <v>-999</v>
      </c>
      <c r="AQ80" s="149">
        <f t="shared" si="50"/>
        <v>-999</v>
      </c>
      <c r="AR80" s="48">
        <v>5.97</v>
      </c>
      <c r="AS80" s="55">
        <f t="shared" si="51"/>
        <v>0.24421898636708705</v>
      </c>
      <c r="AT80" s="149">
        <f t="shared" si="52"/>
        <v>561.89639999999997</v>
      </c>
      <c r="AU80" s="48">
        <v>0.66</v>
      </c>
      <c r="AV80" s="55">
        <f t="shared" si="53"/>
        <v>8.3462826149827196E-2</v>
      </c>
      <c r="AW80" s="149">
        <f t="shared" si="54"/>
        <v>62.119199999999999</v>
      </c>
      <c r="AX80" s="48">
        <v>0.86</v>
      </c>
      <c r="AY80" s="55">
        <f t="shared" si="55"/>
        <v>9.5177156044526687E-2</v>
      </c>
      <c r="AZ80" s="149">
        <f t="shared" si="56"/>
        <v>80.943200000000004</v>
      </c>
      <c r="BA80" s="75">
        <v>7.5</v>
      </c>
      <c r="BB80" s="55">
        <f t="shared" si="57"/>
        <v>0.27149418920601354</v>
      </c>
      <c r="BC80" s="55">
        <f t="shared" si="58"/>
        <v>705.9</v>
      </c>
      <c r="BD80" s="136">
        <v>-999</v>
      </c>
      <c r="BE80" s="48">
        <v>-999</v>
      </c>
      <c r="BF80" s="48">
        <v>-999</v>
      </c>
      <c r="BG80" s="48">
        <v>-999</v>
      </c>
      <c r="BH80" s="48">
        <v>-999</v>
      </c>
      <c r="BI80" s="75">
        <v>-999</v>
      </c>
      <c r="BJ80" s="81">
        <f t="shared" si="59"/>
        <v>-999</v>
      </c>
      <c r="BK80" s="55">
        <f t="shared" si="60"/>
        <v>-999</v>
      </c>
      <c r="BL80" s="136">
        <v>-999</v>
      </c>
      <c r="BM80" s="48">
        <v>-999</v>
      </c>
      <c r="BN80" s="48">
        <v>-999</v>
      </c>
      <c r="BO80" s="48">
        <v>-999</v>
      </c>
      <c r="BP80" s="48">
        <v>-999</v>
      </c>
      <c r="BQ80" s="75">
        <v>-999</v>
      </c>
      <c r="BR80" s="81">
        <f t="shared" si="61"/>
        <v>-999</v>
      </c>
      <c r="BS80" s="55">
        <f t="shared" si="62"/>
        <v>-999</v>
      </c>
      <c r="BT80" s="73">
        <v>-999</v>
      </c>
      <c r="BU80" s="48">
        <v>-999</v>
      </c>
      <c r="BV80" s="55">
        <f t="shared" si="63"/>
        <v>-999</v>
      </c>
      <c r="BW80" s="48">
        <v>-999</v>
      </c>
      <c r="BX80" s="55">
        <f t="shared" si="64"/>
        <v>-999</v>
      </c>
      <c r="BY80" s="48">
        <v>-999</v>
      </c>
      <c r="BZ80" s="55">
        <f t="shared" si="65"/>
        <v>-999</v>
      </c>
      <c r="CA80" s="48">
        <v>-999</v>
      </c>
      <c r="CB80" s="55">
        <f t="shared" si="66"/>
        <v>-999</v>
      </c>
      <c r="CC80" s="48">
        <v>-999</v>
      </c>
      <c r="CD80" s="55">
        <f t="shared" si="67"/>
        <v>-999</v>
      </c>
      <c r="CE80" s="55">
        <v>-999</v>
      </c>
      <c r="CF80" s="129" t="s">
        <v>555</v>
      </c>
      <c r="CG80" s="32" t="b">
        <v>0</v>
      </c>
      <c r="CH80" s="7" t="b">
        <v>0</v>
      </c>
    </row>
    <row r="81" spans="1:86" s="7" customFormat="1" ht="21" customHeight="1">
      <c r="A81" s="30" t="s">
        <v>641</v>
      </c>
      <c r="B81" s="23" t="s">
        <v>505</v>
      </c>
      <c r="C81" s="19" t="s">
        <v>324</v>
      </c>
      <c r="D81" s="11" t="s">
        <v>50</v>
      </c>
      <c r="E81" s="19" t="s">
        <v>109</v>
      </c>
      <c r="F81">
        <v>4</v>
      </c>
      <c r="G81" s="19">
        <v>2831</v>
      </c>
      <c r="H81" s="19" t="s">
        <v>29</v>
      </c>
      <c r="I81" s="19" t="s">
        <v>325</v>
      </c>
      <c r="J81" t="s">
        <v>527</v>
      </c>
      <c r="K81"/>
      <c r="L81" s="47">
        <v>53.5</v>
      </c>
      <c r="M81" s="37">
        <v>51.2</v>
      </c>
      <c r="N81" s="37">
        <v>-999</v>
      </c>
      <c r="O81" s="37">
        <v>28.6</v>
      </c>
      <c r="P81" s="37">
        <v>126.9</v>
      </c>
      <c r="Q81" s="37">
        <v>76.400000000000006</v>
      </c>
      <c r="R81" s="37">
        <v>-999</v>
      </c>
      <c r="S81" s="111">
        <v>14.1</v>
      </c>
      <c r="T81" s="112">
        <v>-999</v>
      </c>
      <c r="U81" s="113">
        <v>39.6</v>
      </c>
      <c r="V81" s="112" t="s">
        <v>284</v>
      </c>
      <c r="W81" s="113">
        <v>-999</v>
      </c>
      <c r="X81" s="112" t="s">
        <v>326</v>
      </c>
      <c r="Y81" s="113">
        <v>34.9</v>
      </c>
      <c r="Z81" s="112">
        <v>-999</v>
      </c>
      <c r="AA81" s="113">
        <v>53.9</v>
      </c>
      <c r="AB81" s="112">
        <v>-999</v>
      </c>
      <c r="AC81" s="64">
        <v>21</v>
      </c>
      <c r="AD81" s="131">
        <v>0.75</v>
      </c>
      <c r="AE81" s="144">
        <f t="shared" si="46"/>
        <v>0.5</v>
      </c>
      <c r="AF81" s="146">
        <f t="shared" si="47"/>
        <v>0.66500000000000004</v>
      </c>
      <c r="AG81" s="29" t="b">
        <v>0</v>
      </c>
      <c r="AH81" s="29" t="b">
        <v>1</v>
      </c>
      <c r="AI81" s="29" t="b">
        <v>0</v>
      </c>
      <c r="AJ81" s="29" t="b">
        <v>1</v>
      </c>
      <c r="AK81" s="73" t="s">
        <v>190</v>
      </c>
      <c r="AL81" s="48">
        <v>-999</v>
      </c>
      <c r="AM81" s="55">
        <f t="shared" si="48"/>
        <v>-999</v>
      </c>
      <c r="AN81" s="149">
        <f t="shared" si="68"/>
        <v>-999</v>
      </c>
      <c r="AO81" s="48">
        <v>-999</v>
      </c>
      <c r="AP81" s="55">
        <f t="shared" si="49"/>
        <v>-999</v>
      </c>
      <c r="AQ81" s="149">
        <f t="shared" si="50"/>
        <v>-999</v>
      </c>
      <c r="AR81" s="48">
        <v>3.7</v>
      </c>
      <c r="AS81" s="55">
        <f t="shared" si="51"/>
        <v>0.35476769878175912</v>
      </c>
      <c r="AT81" s="149">
        <f t="shared" si="52"/>
        <v>104.74700000000001</v>
      </c>
      <c r="AU81" s="48">
        <v>0.3</v>
      </c>
      <c r="AV81" s="55">
        <f t="shared" si="53"/>
        <v>0.1027870192074643</v>
      </c>
      <c r="AW81" s="149">
        <f t="shared" si="54"/>
        <v>8.4930000000000003</v>
      </c>
      <c r="AX81" s="48">
        <v>0</v>
      </c>
      <c r="AY81" s="55">
        <f t="shared" si="55"/>
        <v>0</v>
      </c>
      <c r="AZ81" s="149">
        <f t="shared" si="56"/>
        <v>0</v>
      </c>
      <c r="BA81" s="75">
        <v>4</v>
      </c>
      <c r="BB81" s="55">
        <f t="shared" si="57"/>
        <v>0.36829487671341854</v>
      </c>
      <c r="BC81" s="55">
        <f t="shared" si="58"/>
        <v>113.24000000000001</v>
      </c>
      <c r="BD81" s="136">
        <v>-999</v>
      </c>
      <c r="BE81" s="48">
        <v>-999</v>
      </c>
      <c r="BF81" s="48">
        <v>-999</v>
      </c>
      <c r="BG81" s="48">
        <v>-999</v>
      </c>
      <c r="BH81" s="48">
        <v>-999</v>
      </c>
      <c r="BI81" s="75">
        <v>-999</v>
      </c>
      <c r="BJ81" s="81">
        <f t="shared" si="59"/>
        <v>-999</v>
      </c>
      <c r="BK81" s="55">
        <f t="shared" si="60"/>
        <v>-999</v>
      </c>
      <c r="BL81" s="136">
        <v>-999</v>
      </c>
      <c r="BM81" s="48">
        <v>-999</v>
      </c>
      <c r="BN81" s="48">
        <v>-999</v>
      </c>
      <c r="BO81" s="48">
        <v>-999</v>
      </c>
      <c r="BP81" s="48">
        <v>-999</v>
      </c>
      <c r="BQ81" s="75">
        <v>-999</v>
      </c>
      <c r="BR81" s="81">
        <f t="shared" si="61"/>
        <v>-999</v>
      </c>
      <c r="BS81" s="55">
        <f t="shared" si="62"/>
        <v>-999</v>
      </c>
      <c r="BT81" s="73" t="s">
        <v>192</v>
      </c>
      <c r="BU81" s="48">
        <v>-999</v>
      </c>
      <c r="BV81" s="55">
        <f t="shared" si="63"/>
        <v>-999</v>
      </c>
      <c r="BW81" s="48">
        <v>-999</v>
      </c>
      <c r="BX81" s="55">
        <f t="shared" si="64"/>
        <v>-999</v>
      </c>
      <c r="BY81" s="48">
        <v>3.7</v>
      </c>
      <c r="BZ81" s="55">
        <f t="shared" si="65"/>
        <v>0.35476769878175912</v>
      </c>
      <c r="CA81" s="48">
        <v>0.2</v>
      </c>
      <c r="CB81" s="55">
        <f t="shared" si="66"/>
        <v>8.396732808960003E-2</v>
      </c>
      <c r="CC81" s="48">
        <v>0.1</v>
      </c>
      <c r="CD81" s="55">
        <f t="shared" si="67"/>
        <v>5.9403606068891057E-2</v>
      </c>
      <c r="CE81" s="55">
        <v>4</v>
      </c>
      <c r="CF81" s="129" t="s">
        <v>555</v>
      </c>
      <c r="CG81" s="30" t="b">
        <v>1</v>
      </c>
      <c r="CH81" s="7" t="b">
        <v>0</v>
      </c>
    </row>
    <row r="82" spans="1:86" s="7" customFormat="1" ht="21" customHeight="1">
      <c r="A82" s="32" t="s">
        <v>642</v>
      </c>
      <c r="B82" s="23" t="s">
        <v>506</v>
      </c>
      <c r="C82" s="19" t="s">
        <v>327</v>
      </c>
      <c r="D82" s="11" t="s">
        <v>705</v>
      </c>
      <c r="E82" s="19" t="s">
        <v>329</v>
      </c>
      <c r="F82">
        <v>4</v>
      </c>
      <c r="G82" s="19">
        <v>1471</v>
      </c>
      <c r="H82" s="19" t="s">
        <v>29</v>
      </c>
      <c r="I82" s="19" t="s">
        <v>328</v>
      </c>
      <c r="J82" t="s">
        <v>527</v>
      </c>
      <c r="K82"/>
      <c r="L82" s="47">
        <v>43.2</v>
      </c>
      <c r="M82" s="37">
        <v>75.599999999999994</v>
      </c>
      <c r="N82" s="37">
        <v>-999</v>
      </c>
      <c r="O82" s="37">
        <v>27.6</v>
      </c>
      <c r="P82" s="37">
        <v>-999</v>
      </c>
      <c r="Q82" s="37">
        <v>-999</v>
      </c>
      <c r="R82" s="37">
        <v>86.6</v>
      </c>
      <c r="S82" s="111">
        <v>13.4</v>
      </c>
      <c r="T82" s="112">
        <v>-999</v>
      </c>
      <c r="U82" s="113">
        <v>53.3</v>
      </c>
      <c r="V82" s="112">
        <v>-999</v>
      </c>
      <c r="W82" s="113">
        <v>-999</v>
      </c>
      <c r="X82" s="112" t="s">
        <v>43</v>
      </c>
      <c r="Y82" s="113">
        <v>24.2</v>
      </c>
      <c r="Z82" s="112" t="s">
        <v>120</v>
      </c>
      <c r="AA82" s="113">
        <v>9.3000000000000007</v>
      </c>
      <c r="AB82" s="112" t="s">
        <v>25</v>
      </c>
      <c r="AC82" s="64">
        <v>22</v>
      </c>
      <c r="AD82" s="131">
        <v>0.7857142857142857</v>
      </c>
      <c r="AE82" s="144">
        <f t="shared" si="46"/>
        <v>0.5</v>
      </c>
      <c r="AF82" s="146">
        <f t="shared" si="47"/>
        <v>0.68857142857142861</v>
      </c>
      <c r="AG82" s="29" t="b">
        <v>0</v>
      </c>
      <c r="AH82" s="29" t="b">
        <v>1</v>
      </c>
      <c r="AI82" s="29" t="b">
        <v>0</v>
      </c>
      <c r="AJ82" s="29" t="b">
        <v>1</v>
      </c>
      <c r="AK82" s="73" t="s">
        <v>190</v>
      </c>
      <c r="AL82" s="48">
        <v>0.3</v>
      </c>
      <c r="AM82" s="55">
        <f t="shared" si="48"/>
        <v>0.14259420300319214</v>
      </c>
      <c r="AN82" s="149">
        <f t="shared" si="68"/>
        <v>4.4130000000000003</v>
      </c>
      <c r="AO82" s="48">
        <v>4.3</v>
      </c>
      <c r="AP82" s="55">
        <f t="shared" si="49"/>
        <v>0.5289125357072566</v>
      </c>
      <c r="AQ82" s="149">
        <f t="shared" si="50"/>
        <v>63.252999999999993</v>
      </c>
      <c r="AR82" s="48">
        <v>32.9</v>
      </c>
      <c r="AS82" s="55">
        <f t="shared" si="51"/>
        <v>1.2250473429717292</v>
      </c>
      <c r="AT82" s="149">
        <f t="shared" si="52"/>
        <v>483.95899999999995</v>
      </c>
      <c r="AU82" s="48">
        <v>1.4</v>
      </c>
      <c r="AV82" s="55">
        <f t="shared" si="53"/>
        <v>0.30633466101818851</v>
      </c>
      <c r="AW82" s="149">
        <f t="shared" si="54"/>
        <v>20.593999999999998</v>
      </c>
      <c r="AX82" s="48">
        <v>0</v>
      </c>
      <c r="AY82" s="55">
        <f t="shared" si="55"/>
        <v>0</v>
      </c>
      <c r="AZ82" s="149">
        <f t="shared" si="56"/>
        <v>0</v>
      </c>
      <c r="BA82" s="75">
        <v>34.299999999999997</v>
      </c>
      <c r="BB82" s="55">
        <f t="shared" si="57"/>
        <v>1.2377228493493588</v>
      </c>
      <c r="BC82" s="55">
        <f t="shared" si="58"/>
        <v>504.55299999999994</v>
      </c>
      <c r="BD82" s="136">
        <v>0.4</v>
      </c>
      <c r="BE82" s="48">
        <v>5.5</v>
      </c>
      <c r="BF82" s="48">
        <v>29.3</v>
      </c>
      <c r="BG82" s="48">
        <v>1.2</v>
      </c>
      <c r="BH82" s="48">
        <v>0</v>
      </c>
      <c r="BI82" s="75">
        <f>SUM(BD82:BH82)</f>
        <v>36.400000000000006</v>
      </c>
      <c r="BJ82" s="81">
        <f t="shared" si="59"/>
        <v>535.44400000000007</v>
      </c>
      <c r="BK82" s="55">
        <f t="shared" si="60"/>
        <v>1.2545064925176213</v>
      </c>
      <c r="BL82" s="136">
        <v>0.2</v>
      </c>
      <c r="BM82" s="48">
        <v>2.7</v>
      </c>
      <c r="BN82" s="48">
        <v>37.6</v>
      </c>
      <c r="BO82" s="48">
        <v>1.6</v>
      </c>
      <c r="BP82" s="48">
        <v>0</v>
      </c>
      <c r="BQ82" s="75">
        <f>SUM(BL82:BP82)</f>
        <v>42.1</v>
      </c>
      <c r="BR82" s="81">
        <f t="shared" si="61"/>
        <v>619.29100000000005</v>
      </c>
      <c r="BS82" s="55">
        <f t="shared" si="62"/>
        <v>1.2872828798599092</v>
      </c>
      <c r="BT82" s="73" t="s">
        <v>192</v>
      </c>
      <c r="BU82" s="48">
        <v>0.2</v>
      </c>
      <c r="BV82" s="55">
        <f t="shared" si="63"/>
        <v>0.11648605358500928</v>
      </c>
      <c r="BW82" s="48">
        <v>4.3</v>
      </c>
      <c r="BX82" s="55">
        <f t="shared" si="64"/>
        <v>0.5289125357072566</v>
      </c>
      <c r="BY82" s="48">
        <v>31.4</v>
      </c>
      <c r="BZ82" s="55">
        <f t="shared" si="65"/>
        <v>1.2100980066044382</v>
      </c>
      <c r="CA82" s="48">
        <v>1.6</v>
      </c>
      <c r="CB82" s="55">
        <f t="shared" si="66"/>
        <v>0.32715322375775513</v>
      </c>
      <c r="CC82" s="48">
        <v>0</v>
      </c>
      <c r="CD82" s="55">
        <f t="shared" si="67"/>
        <v>0</v>
      </c>
      <c r="CE82" s="55">
        <v>33</v>
      </c>
      <c r="CF82" s="129" t="s">
        <v>556</v>
      </c>
      <c r="CG82" s="32" t="b">
        <v>1</v>
      </c>
      <c r="CH82" s="10" t="b">
        <v>0</v>
      </c>
    </row>
    <row r="83" spans="1:86" s="7" customFormat="1" ht="21" customHeight="1">
      <c r="A83" s="32" t="s">
        <v>683</v>
      </c>
      <c r="B83" s="23" t="s">
        <v>443</v>
      </c>
      <c r="C83" s="7" t="s">
        <v>585</v>
      </c>
      <c r="D83" s="11" t="s">
        <v>93</v>
      </c>
      <c r="E83" s="10" t="s">
        <v>94</v>
      </c>
      <c r="F83">
        <v>4</v>
      </c>
      <c r="G83" s="10">
        <v>2476</v>
      </c>
      <c r="H83" s="10" t="s">
        <v>29</v>
      </c>
      <c r="I83" s="23" t="s">
        <v>389</v>
      </c>
      <c r="J83" t="s">
        <v>522</v>
      </c>
      <c r="K83"/>
      <c r="L83" s="45">
        <v>61.793214862681744</v>
      </c>
      <c r="M83" s="12">
        <v>50</v>
      </c>
      <c r="N83" s="12">
        <v>-999</v>
      </c>
      <c r="O83" s="12">
        <v>26.6</v>
      </c>
      <c r="P83" s="12">
        <v>-999</v>
      </c>
      <c r="Q83" s="12">
        <v>-999</v>
      </c>
      <c r="R83" s="12">
        <v>-999</v>
      </c>
      <c r="S83" s="100">
        <v>6.7</v>
      </c>
      <c r="T83" s="101">
        <v>-999</v>
      </c>
      <c r="U83" s="102">
        <v>29.299999999999997</v>
      </c>
      <c r="V83" s="101" t="s">
        <v>48</v>
      </c>
      <c r="W83" s="102">
        <v>15.5</v>
      </c>
      <c r="X83" s="101" t="s">
        <v>95</v>
      </c>
      <c r="Y83" s="102">
        <v>-999</v>
      </c>
      <c r="Z83" s="101">
        <v>-999</v>
      </c>
      <c r="AA83" s="102">
        <v>-999</v>
      </c>
      <c r="AB83" s="101">
        <v>-999</v>
      </c>
      <c r="AC83" s="64">
        <v>18</v>
      </c>
      <c r="AD83" s="131">
        <f>AC83/28</f>
        <v>0.6428571428571429</v>
      </c>
      <c r="AE83" s="144">
        <f t="shared" si="46"/>
        <v>0.25</v>
      </c>
      <c r="AF83" s="146">
        <f t="shared" si="47"/>
        <v>0.50928571428571434</v>
      </c>
      <c r="AG83" s="9" t="b">
        <v>0</v>
      </c>
      <c r="AH83" s="9" t="b">
        <v>1</v>
      </c>
      <c r="AI83" s="9" t="b">
        <v>0</v>
      </c>
      <c r="AJ83" s="9" t="b">
        <v>0</v>
      </c>
      <c r="AK83" s="71" t="s">
        <v>190</v>
      </c>
      <c r="AL83" s="45">
        <v>-999</v>
      </c>
      <c r="AM83" s="44">
        <f t="shared" si="48"/>
        <v>-999</v>
      </c>
      <c r="AN83" s="149">
        <f t="shared" si="68"/>
        <v>-999</v>
      </c>
      <c r="AO83" s="45">
        <v>-999</v>
      </c>
      <c r="AP83" s="44">
        <f t="shared" si="49"/>
        <v>-999</v>
      </c>
      <c r="AQ83" s="149">
        <f t="shared" si="50"/>
        <v>-999</v>
      </c>
      <c r="AR83" s="45">
        <v>8.1</v>
      </c>
      <c r="AS83" s="44">
        <f t="shared" si="51"/>
        <v>0.54830845769685721</v>
      </c>
      <c r="AT83" s="149">
        <f t="shared" si="52"/>
        <v>200.55600000000001</v>
      </c>
      <c r="AU83" s="45">
        <v>0.6</v>
      </c>
      <c r="AV83" s="44">
        <f t="shared" si="53"/>
        <v>0.15520063620941166</v>
      </c>
      <c r="AW83" s="149">
        <f t="shared" si="54"/>
        <v>14.856</v>
      </c>
      <c r="AX83" s="45">
        <v>0</v>
      </c>
      <c r="AY83" s="44">
        <f t="shared" si="55"/>
        <v>0</v>
      </c>
      <c r="AZ83" s="149">
        <f t="shared" si="56"/>
        <v>0</v>
      </c>
      <c r="BA83" s="76">
        <v>18.399999999999999</v>
      </c>
      <c r="BB83" s="44">
        <f t="shared" si="57"/>
        <v>0.77871523369315399</v>
      </c>
      <c r="BC83" s="55">
        <f t="shared" si="58"/>
        <v>455.584</v>
      </c>
      <c r="BD83" s="137">
        <v>-999</v>
      </c>
      <c r="BE83" s="45">
        <v>-999</v>
      </c>
      <c r="BF83" s="45">
        <v>-999</v>
      </c>
      <c r="BG83" s="45">
        <v>-999</v>
      </c>
      <c r="BH83" s="45">
        <v>-999</v>
      </c>
      <c r="BI83" s="76">
        <v>-999</v>
      </c>
      <c r="BJ83" s="81">
        <f t="shared" si="59"/>
        <v>-999</v>
      </c>
      <c r="BK83" s="44">
        <f t="shared" si="60"/>
        <v>-999</v>
      </c>
      <c r="BL83" s="137">
        <v>-999</v>
      </c>
      <c r="BM83" s="45">
        <v>-999</v>
      </c>
      <c r="BN83" s="45">
        <v>-999</v>
      </c>
      <c r="BO83" s="45">
        <v>-999</v>
      </c>
      <c r="BP83" s="45">
        <v>-999</v>
      </c>
      <c r="BQ83" s="76">
        <v>-999</v>
      </c>
      <c r="BR83" s="81">
        <f t="shared" si="61"/>
        <v>-999</v>
      </c>
      <c r="BS83" s="44">
        <f t="shared" si="62"/>
        <v>-999</v>
      </c>
      <c r="BT83" s="71">
        <v>-999</v>
      </c>
      <c r="BU83" s="48">
        <v>-999</v>
      </c>
      <c r="BV83" s="44">
        <f t="shared" si="63"/>
        <v>-999</v>
      </c>
      <c r="BW83" s="48">
        <v>-999</v>
      </c>
      <c r="BX83" s="44">
        <f t="shared" si="64"/>
        <v>-999</v>
      </c>
      <c r="BY83" s="48">
        <v>-999</v>
      </c>
      <c r="BZ83" s="44">
        <f t="shared" si="65"/>
        <v>-999</v>
      </c>
      <c r="CA83" s="48">
        <v>-999</v>
      </c>
      <c r="CB83" s="44">
        <f t="shared" si="66"/>
        <v>-999</v>
      </c>
      <c r="CC83" s="48">
        <v>-999</v>
      </c>
      <c r="CD83" s="44">
        <f t="shared" si="67"/>
        <v>-999</v>
      </c>
      <c r="CE83" s="55">
        <v>-999</v>
      </c>
      <c r="CF83" s="129" t="s">
        <v>555</v>
      </c>
      <c r="CG83" s="32" t="b">
        <v>0</v>
      </c>
      <c r="CH83" s="7" t="b">
        <v>0</v>
      </c>
    </row>
    <row r="84" spans="1:86" s="7" customFormat="1" ht="21" customHeight="1">
      <c r="A84" s="7" t="s">
        <v>643</v>
      </c>
      <c r="B84" s="25" t="s">
        <v>537</v>
      </c>
      <c r="C84" s="86" t="s">
        <v>538</v>
      </c>
      <c r="D84" s="8" t="s">
        <v>540</v>
      </c>
      <c r="E84" s="86" t="s">
        <v>133</v>
      </c>
      <c r="F84">
        <v>2</v>
      </c>
      <c r="G84" s="86">
        <v>24492</v>
      </c>
      <c r="H84" s="86" t="s">
        <v>29</v>
      </c>
      <c r="I84" s="86" t="s">
        <v>539</v>
      </c>
      <c r="J84" t="s">
        <v>531</v>
      </c>
      <c r="K84"/>
      <c r="L84" s="87">
        <v>56</v>
      </c>
      <c r="M84" s="88">
        <v>56.2</v>
      </c>
      <c r="N84" s="88">
        <v>-999</v>
      </c>
      <c r="O84" s="88">
        <v>-999</v>
      </c>
      <c r="P84" s="88">
        <v>-999</v>
      </c>
      <c r="Q84" s="88">
        <v>-999</v>
      </c>
      <c r="R84" s="88">
        <v>-999</v>
      </c>
      <c r="S84" s="111">
        <v>-999</v>
      </c>
      <c r="T84" s="120">
        <v>-999</v>
      </c>
      <c r="U84" s="124">
        <v>-999</v>
      </c>
      <c r="V84" s="120">
        <v>-999</v>
      </c>
      <c r="W84" s="124">
        <v>-999</v>
      </c>
      <c r="X84" s="120">
        <v>-999</v>
      </c>
      <c r="Y84" s="124">
        <v>-999</v>
      </c>
      <c r="Z84" s="120">
        <v>-999</v>
      </c>
      <c r="AA84" s="124">
        <v>-999</v>
      </c>
      <c r="AB84" s="120">
        <v>-999</v>
      </c>
      <c r="AC84" s="64">
        <v>21</v>
      </c>
      <c r="AD84" s="131">
        <v>0.75</v>
      </c>
      <c r="AE84" s="144">
        <f t="shared" si="46"/>
        <v>1</v>
      </c>
      <c r="AF84" s="146">
        <f t="shared" si="47"/>
        <v>0.83499999999999996</v>
      </c>
      <c r="AG84" s="29" t="b">
        <v>1</v>
      </c>
      <c r="AH84" s="29" t="b">
        <v>1</v>
      </c>
      <c r="AI84" s="29" t="b">
        <v>1</v>
      </c>
      <c r="AJ84" s="29" t="b">
        <v>1</v>
      </c>
      <c r="AK84" s="73" t="s">
        <v>190</v>
      </c>
      <c r="AL84" s="55">
        <v>-999</v>
      </c>
      <c r="AM84" s="55">
        <f t="shared" si="48"/>
        <v>-999</v>
      </c>
      <c r="AN84" s="149">
        <f t="shared" si="68"/>
        <v>-999</v>
      </c>
      <c r="AO84" s="55">
        <v>-999</v>
      </c>
      <c r="AP84" s="55">
        <f t="shared" si="49"/>
        <v>-999</v>
      </c>
      <c r="AQ84" s="149">
        <f t="shared" si="50"/>
        <v>-999</v>
      </c>
      <c r="AR84" s="55">
        <f>(0.5585+0.308)*BA84</f>
        <v>24.52195</v>
      </c>
      <c r="AS84" s="55">
        <f t="shared" si="51"/>
        <v>0.27490061513825853</v>
      </c>
      <c r="AT84" s="149">
        <f t="shared" si="52"/>
        <v>6005.915994</v>
      </c>
      <c r="AU84" s="55">
        <f>0.1018*BA84</f>
        <v>2.8809400000000003</v>
      </c>
      <c r="AV84" s="55">
        <f t="shared" si="53"/>
        <v>0.10688265087542397</v>
      </c>
      <c r="AW84" s="149">
        <f t="shared" si="54"/>
        <v>705.59982480000008</v>
      </c>
      <c r="AX84" s="55">
        <f>0.0316*BA84</f>
        <v>0.89428000000000007</v>
      </c>
      <c r="AY84" s="55">
        <f t="shared" si="55"/>
        <v>6.0155313462532972E-2</v>
      </c>
      <c r="AZ84" s="149">
        <f t="shared" si="56"/>
        <v>219.02705760000001</v>
      </c>
      <c r="BA84" s="75">
        <v>28.3</v>
      </c>
      <c r="BB84" s="55">
        <f t="shared" si="57"/>
        <v>0.2878330569823726</v>
      </c>
      <c r="BC84" s="55">
        <f t="shared" si="58"/>
        <v>6931.2360000000008</v>
      </c>
      <c r="BD84" s="136">
        <v>-999</v>
      </c>
      <c r="BE84" s="55">
        <v>-999</v>
      </c>
      <c r="BF84" s="55">
        <v>-999</v>
      </c>
      <c r="BG84" s="55">
        <v>-999</v>
      </c>
      <c r="BH84" s="55">
        <v>-999</v>
      </c>
      <c r="BI84" s="75">
        <v>-999</v>
      </c>
      <c r="BJ84" s="81">
        <f t="shared" si="59"/>
        <v>-999</v>
      </c>
      <c r="BK84" s="55">
        <f t="shared" si="60"/>
        <v>-999</v>
      </c>
      <c r="BL84" s="136">
        <v>-999</v>
      </c>
      <c r="BM84" s="55">
        <v>-999</v>
      </c>
      <c r="BN84" s="55">
        <v>-999</v>
      </c>
      <c r="BO84" s="55">
        <v>-999</v>
      </c>
      <c r="BP84" s="55">
        <v>-999</v>
      </c>
      <c r="BQ84" s="75">
        <v>-999</v>
      </c>
      <c r="BR84" s="81">
        <f t="shared" si="61"/>
        <v>-999</v>
      </c>
      <c r="BS84" s="55">
        <f t="shared" si="62"/>
        <v>-999</v>
      </c>
      <c r="BT84" s="73">
        <v>-999</v>
      </c>
      <c r="BU84" s="55">
        <v>-999</v>
      </c>
      <c r="BV84" s="55">
        <f t="shared" si="63"/>
        <v>-999</v>
      </c>
      <c r="BW84" s="55">
        <v>-999</v>
      </c>
      <c r="BX84" s="55">
        <f t="shared" si="64"/>
        <v>-999</v>
      </c>
      <c r="BY84" s="55">
        <v>-999</v>
      </c>
      <c r="BZ84" s="55">
        <f t="shared" si="65"/>
        <v>-999</v>
      </c>
      <c r="CA84" s="55">
        <v>-999</v>
      </c>
      <c r="CB84" s="55">
        <f t="shared" si="66"/>
        <v>-999</v>
      </c>
      <c r="CC84" s="55">
        <v>-999</v>
      </c>
      <c r="CD84" s="55">
        <f t="shared" si="67"/>
        <v>-999</v>
      </c>
      <c r="CE84" s="55">
        <v>-999</v>
      </c>
      <c r="CF84" s="129" t="s">
        <v>555</v>
      </c>
      <c r="CG84" s="32" t="b">
        <v>0</v>
      </c>
      <c r="CH84" s="25" t="b">
        <v>0</v>
      </c>
    </row>
    <row r="85" spans="1:86" s="7" customFormat="1" ht="21" customHeight="1">
      <c r="A85" s="10" t="s">
        <v>644</v>
      </c>
      <c r="B85" s="23" t="s">
        <v>507</v>
      </c>
      <c r="C85" s="19" t="s">
        <v>330</v>
      </c>
      <c r="D85" s="11" t="s">
        <v>699</v>
      </c>
      <c r="E85" s="19" t="s">
        <v>332</v>
      </c>
      <c r="F85">
        <v>6</v>
      </c>
      <c r="G85" s="19">
        <v>4499</v>
      </c>
      <c r="H85" s="19" t="s">
        <v>29</v>
      </c>
      <c r="I85" s="19" t="s">
        <v>331</v>
      </c>
      <c r="J85" t="s">
        <v>527</v>
      </c>
      <c r="K85"/>
      <c r="L85" s="47">
        <v>52.601955990220041</v>
      </c>
      <c r="M85" s="37">
        <v>49.700088908646357</v>
      </c>
      <c r="N85" s="37">
        <v>-999</v>
      </c>
      <c r="O85" s="37">
        <v>24.001555901311402</v>
      </c>
      <c r="P85" s="37">
        <v>132.19999999999999</v>
      </c>
      <c r="Q85" s="37">
        <v>77.900000000000006</v>
      </c>
      <c r="R85" s="37">
        <v>-999</v>
      </c>
      <c r="S85" s="111">
        <v>11.049566570348965</v>
      </c>
      <c r="T85" s="112" t="s">
        <v>319</v>
      </c>
      <c r="U85" s="113">
        <v>40.398177372749501</v>
      </c>
      <c r="V85" s="112" t="s">
        <v>284</v>
      </c>
      <c r="W85" s="113">
        <v>-999</v>
      </c>
      <c r="X85" s="112" t="s">
        <v>43</v>
      </c>
      <c r="Y85" s="113">
        <v>-999</v>
      </c>
      <c r="Z85" s="112">
        <v>-999</v>
      </c>
      <c r="AA85" s="113">
        <v>11.635407868415204</v>
      </c>
      <c r="AB85" s="112" t="s">
        <v>25</v>
      </c>
      <c r="AC85" s="64">
        <v>20</v>
      </c>
      <c r="AD85" s="131">
        <v>0.7142857142857143</v>
      </c>
      <c r="AE85" s="144">
        <f t="shared" si="46"/>
        <v>0.75</v>
      </c>
      <c r="AF85" s="146">
        <f t="shared" si="47"/>
        <v>0.72642857142857142</v>
      </c>
      <c r="AG85" s="29" t="b">
        <v>0</v>
      </c>
      <c r="AH85" s="29" t="b">
        <v>1</v>
      </c>
      <c r="AI85" s="29" t="b">
        <v>1</v>
      </c>
      <c r="AJ85" s="29" t="b">
        <v>1</v>
      </c>
      <c r="AK85" s="73" t="s">
        <v>190</v>
      </c>
      <c r="AL85" s="48">
        <v>4.3</v>
      </c>
      <c r="AM85" s="55">
        <f t="shared" si="48"/>
        <v>0.30243510488208319</v>
      </c>
      <c r="AN85" s="149">
        <f t="shared" si="68"/>
        <v>193.45699999999999</v>
      </c>
      <c r="AO85" s="48">
        <v>5.7</v>
      </c>
      <c r="AP85" s="55">
        <f t="shared" si="49"/>
        <v>0.34564897840190745</v>
      </c>
      <c r="AQ85" s="149">
        <f t="shared" si="50"/>
        <v>256.44299999999998</v>
      </c>
      <c r="AR85" s="48">
        <v>5.3</v>
      </c>
      <c r="AS85" s="55">
        <f t="shared" si="51"/>
        <v>0.33400650703799295</v>
      </c>
      <c r="AT85" s="149">
        <f t="shared" si="52"/>
        <v>238.447</v>
      </c>
      <c r="AU85" s="48">
        <v>0.2</v>
      </c>
      <c r="AV85" s="55">
        <f t="shared" si="53"/>
        <v>6.6607367863145348E-2</v>
      </c>
      <c r="AW85" s="149">
        <f t="shared" si="54"/>
        <v>8.9979999999999993</v>
      </c>
      <c r="AX85" s="48">
        <v>0.01</v>
      </c>
      <c r="AY85" s="55">
        <f t="shared" si="55"/>
        <v>1.4908031015296964E-2</v>
      </c>
      <c r="AZ85" s="149">
        <f t="shared" si="56"/>
        <v>0.44990000000000002</v>
      </c>
      <c r="BA85" s="75">
        <v>15.6</v>
      </c>
      <c r="BB85" s="55">
        <f t="shared" si="57"/>
        <v>0.54097292018904397</v>
      </c>
      <c r="BC85" s="55">
        <f t="shared" si="58"/>
        <v>701.84400000000005</v>
      </c>
      <c r="BD85" s="136">
        <v>-999</v>
      </c>
      <c r="BE85" s="48">
        <v>-999</v>
      </c>
      <c r="BF85" s="48">
        <v>-999</v>
      </c>
      <c r="BG85" s="48">
        <v>-999</v>
      </c>
      <c r="BH85" s="48">
        <v>-999</v>
      </c>
      <c r="BI85" s="75">
        <v>-999</v>
      </c>
      <c r="BJ85" s="81">
        <f t="shared" si="59"/>
        <v>-999</v>
      </c>
      <c r="BK85" s="55">
        <f t="shared" si="60"/>
        <v>-999</v>
      </c>
      <c r="BL85" s="136">
        <v>-999</v>
      </c>
      <c r="BM85" s="48">
        <v>-999</v>
      </c>
      <c r="BN85" s="48">
        <v>-999</v>
      </c>
      <c r="BO85" s="48">
        <v>-999</v>
      </c>
      <c r="BP85" s="48">
        <v>-999</v>
      </c>
      <c r="BQ85" s="75">
        <v>-999</v>
      </c>
      <c r="BR85" s="81">
        <f t="shared" si="61"/>
        <v>-999</v>
      </c>
      <c r="BS85" s="55">
        <f t="shared" si="62"/>
        <v>-999</v>
      </c>
      <c r="BT85" s="73">
        <v>-999</v>
      </c>
      <c r="BU85" s="48">
        <v>-999</v>
      </c>
      <c r="BV85" s="55">
        <f t="shared" si="63"/>
        <v>-999</v>
      </c>
      <c r="BW85" s="48">
        <v>-999</v>
      </c>
      <c r="BX85" s="55">
        <f t="shared" si="64"/>
        <v>-999</v>
      </c>
      <c r="BY85" s="48">
        <v>-999</v>
      </c>
      <c r="BZ85" s="55">
        <f t="shared" si="65"/>
        <v>-999</v>
      </c>
      <c r="CA85" s="48">
        <v>-999</v>
      </c>
      <c r="CB85" s="55">
        <f t="shared" si="66"/>
        <v>-999</v>
      </c>
      <c r="CC85" s="48">
        <v>-999</v>
      </c>
      <c r="CD85" s="55">
        <f t="shared" si="67"/>
        <v>-999</v>
      </c>
      <c r="CE85" s="55">
        <v>-999</v>
      </c>
      <c r="CF85" s="129" t="s">
        <v>556</v>
      </c>
      <c r="CG85" s="32" t="b">
        <v>1</v>
      </c>
      <c r="CH85" s="7" t="b">
        <v>0</v>
      </c>
    </row>
    <row r="86" spans="1:86" s="7" customFormat="1" ht="21" customHeight="1">
      <c r="A86" s="10" t="s">
        <v>684</v>
      </c>
      <c r="B86" s="23" t="s">
        <v>444</v>
      </c>
      <c r="C86" s="7" t="s">
        <v>77</v>
      </c>
      <c r="D86" s="8" t="s">
        <v>78</v>
      </c>
      <c r="E86" s="7" t="s">
        <v>71</v>
      </c>
      <c r="F86">
        <v>3</v>
      </c>
      <c r="G86" s="7">
        <v>16354</v>
      </c>
      <c r="H86" s="7" t="s">
        <v>29</v>
      </c>
      <c r="I86" s="13" t="s">
        <v>409</v>
      </c>
      <c r="J86" t="s">
        <v>522</v>
      </c>
      <c r="K86"/>
      <c r="L86" s="44">
        <v>51</v>
      </c>
      <c r="M86" s="9">
        <v>51</v>
      </c>
      <c r="N86" s="9">
        <v>-999</v>
      </c>
      <c r="O86" s="9">
        <v>-999</v>
      </c>
      <c r="P86" s="9">
        <v>-999</v>
      </c>
      <c r="Q86" s="9">
        <v>-999</v>
      </c>
      <c r="R86" s="9">
        <v>-999</v>
      </c>
      <c r="S86" s="100">
        <v>-999</v>
      </c>
      <c r="T86" s="101" t="s">
        <v>79</v>
      </c>
      <c r="U86" s="102">
        <v>-999</v>
      </c>
      <c r="V86" s="101" t="s">
        <v>48</v>
      </c>
      <c r="W86" s="102">
        <v>-999</v>
      </c>
      <c r="X86" s="101" t="s">
        <v>39</v>
      </c>
      <c r="Y86" s="102">
        <v>-999</v>
      </c>
      <c r="Z86" s="101" t="s">
        <v>80</v>
      </c>
      <c r="AA86" s="102">
        <v>-999</v>
      </c>
      <c r="AB86" s="101">
        <v>-999</v>
      </c>
      <c r="AC86" s="64">
        <v>20</v>
      </c>
      <c r="AD86" s="131">
        <v>0.71430000000000005</v>
      </c>
      <c r="AE86" s="144">
        <f t="shared" si="46"/>
        <v>0.25</v>
      </c>
      <c r="AF86" s="146">
        <f t="shared" si="47"/>
        <v>0.5564380000000001</v>
      </c>
      <c r="AG86" s="9" t="b">
        <v>0</v>
      </c>
      <c r="AH86" s="9" t="b">
        <v>1</v>
      </c>
      <c r="AI86" s="9" t="b">
        <v>0</v>
      </c>
      <c r="AJ86" s="9" t="b">
        <v>0</v>
      </c>
      <c r="AK86" s="71" t="s">
        <v>190</v>
      </c>
      <c r="AL86" s="45">
        <v>2.2000000000000002</v>
      </c>
      <c r="AM86" s="44">
        <f t="shared" si="48"/>
        <v>0.11470141382251973</v>
      </c>
      <c r="AN86" s="149">
        <f t="shared" si="68"/>
        <v>359.78800000000001</v>
      </c>
      <c r="AO86" s="45">
        <v>2.1</v>
      </c>
      <c r="AP86" s="44">
        <f t="shared" si="49"/>
        <v>0.1121215251179086</v>
      </c>
      <c r="AQ86" s="149">
        <f t="shared" si="50"/>
        <v>343.43400000000003</v>
      </c>
      <c r="AR86" s="45">
        <v>7.8</v>
      </c>
      <c r="AS86" s="44">
        <f t="shared" si="51"/>
        <v>0.20970112731717064</v>
      </c>
      <c r="AT86" s="149">
        <f t="shared" si="52"/>
        <v>1275.6120000000001</v>
      </c>
      <c r="AU86" s="45">
        <v>0.3</v>
      </c>
      <c r="AV86" s="44">
        <f t="shared" si="53"/>
        <v>4.2765761519258871E-2</v>
      </c>
      <c r="AW86" s="149">
        <f t="shared" si="54"/>
        <v>49.061999999999998</v>
      </c>
      <c r="AX86" s="45">
        <v>0.2</v>
      </c>
      <c r="AY86" s="44">
        <f t="shared" si="55"/>
        <v>3.4935605256158964E-2</v>
      </c>
      <c r="AZ86" s="149">
        <f t="shared" si="56"/>
        <v>32.707999999999998</v>
      </c>
      <c r="BA86" s="76">
        <v>12.6</v>
      </c>
      <c r="BB86" s="44">
        <f t="shared" si="57"/>
        <v>0.25949499878895149</v>
      </c>
      <c r="BC86" s="55">
        <f t="shared" si="58"/>
        <v>2060.6039999999998</v>
      </c>
      <c r="BD86" s="137">
        <v>2.5</v>
      </c>
      <c r="BE86" s="45">
        <v>2.5</v>
      </c>
      <c r="BF86" s="45">
        <v>8.6</v>
      </c>
      <c r="BG86" s="45">
        <v>0.33</v>
      </c>
      <c r="BH86" s="45">
        <v>0.22</v>
      </c>
      <c r="BI86" s="76">
        <v>14.099999999999998</v>
      </c>
      <c r="BJ86" s="81">
        <f t="shared" si="59"/>
        <v>2305.9139999999998</v>
      </c>
      <c r="BK86" s="44">
        <f t="shared" si="60"/>
        <v>0.27214110354235505</v>
      </c>
      <c r="BL86" s="137">
        <v>1.9</v>
      </c>
      <c r="BM86" s="45">
        <v>1.8000000000000003</v>
      </c>
      <c r="BN86" s="45">
        <v>7.1</v>
      </c>
      <c r="BO86" s="45">
        <v>0.26</v>
      </c>
      <c r="BP86" s="45">
        <v>0.18</v>
      </c>
      <c r="BQ86" s="76">
        <v>11.3</v>
      </c>
      <c r="BR86" s="81">
        <f t="shared" si="61"/>
        <v>1848.002</v>
      </c>
      <c r="BS86" s="44">
        <f t="shared" si="62"/>
        <v>0.24756488001689897</v>
      </c>
      <c r="BT86" s="71">
        <v>-999</v>
      </c>
      <c r="BU86" s="48">
        <v>-999</v>
      </c>
      <c r="BV86" s="44">
        <f t="shared" si="63"/>
        <v>-999</v>
      </c>
      <c r="BW86" s="48">
        <v>-999</v>
      </c>
      <c r="BX86" s="44">
        <f t="shared" si="64"/>
        <v>-999</v>
      </c>
      <c r="BY86" s="48">
        <v>-999</v>
      </c>
      <c r="BZ86" s="44">
        <f t="shared" si="65"/>
        <v>-999</v>
      </c>
      <c r="CA86" s="48">
        <v>-999</v>
      </c>
      <c r="CB86" s="44">
        <f t="shared" si="66"/>
        <v>-999</v>
      </c>
      <c r="CC86" s="48">
        <v>-999</v>
      </c>
      <c r="CD86" s="44">
        <f t="shared" si="67"/>
        <v>-999</v>
      </c>
      <c r="CE86" s="55">
        <v>-999</v>
      </c>
      <c r="CF86" s="156" t="s">
        <v>556</v>
      </c>
      <c r="CG86" s="32" t="b">
        <v>1</v>
      </c>
      <c r="CH86" s="10" t="b">
        <v>0</v>
      </c>
    </row>
    <row r="87" spans="1:86" s="7" customFormat="1" ht="21" customHeight="1">
      <c r="A87" s="10" t="s">
        <v>685</v>
      </c>
      <c r="B87" s="23" t="s">
        <v>445</v>
      </c>
      <c r="C87" s="7" t="s">
        <v>126</v>
      </c>
      <c r="D87" s="8">
        <v>2005</v>
      </c>
      <c r="E87" s="7" t="s">
        <v>127</v>
      </c>
      <c r="F87">
        <v>4</v>
      </c>
      <c r="G87" s="7">
        <v>1079</v>
      </c>
      <c r="H87" s="7" t="s">
        <v>29</v>
      </c>
      <c r="I87" s="25" t="s">
        <v>389</v>
      </c>
      <c r="J87" t="s">
        <v>522</v>
      </c>
      <c r="K87"/>
      <c r="L87" s="44">
        <v>50.6</v>
      </c>
      <c r="M87" s="9">
        <v>41.4</v>
      </c>
      <c r="N87" s="9">
        <v>70</v>
      </c>
      <c r="O87" s="9">
        <v>26.8</v>
      </c>
      <c r="P87" s="9">
        <v>-999</v>
      </c>
      <c r="Q87" s="9">
        <v>-999</v>
      </c>
      <c r="R87" s="9">
        <v>78.7</v>
      </c>
      <c r="S87" s="100">
        <v>5.28</v>
      </c>
      <c r="T87" s="101">
        <v>-999</v>
      </c>
      <c r="U87" s="102">
        <v>37.799999999999997</v>
      </c>
      <c r="V87" s="101" t="s">
        <v>48</v>
      </c>
      <c r="W87" s="102">
        <v>-999</v>
      </c>
      <c r="X87" s="101">
        <v>-999</v>
      </c>
      <c r="Y87" s="102">
        <v>22.900000000000002</v>
      </c>
      <c r="Z87" s="101">
        <v>-999</v>
      </c>
      <c r="AA87" s="102">
        <v>-999</v>
      </c>
      <c r="AB87" s="101">
        <v>-999</v>
      </c>
      <c r="AC87" s="64">
        <v>12</v>
      </c>
      <c r="AD87" s="131">
        <f>AC87/28</f>
        <v>0.42857142857142855</v>
      </c>
      <c r="AE87" s="144">
        <f t="shared" si="46"/>
        <v>0</v>
      </c>
      <c r="AF87" s="146">
        <f t="shared" si="47"/>
        <v>0.28285714285714286</v>
      </c>
      <c r="AG87" s="9" t="b">
        <v>0</v>
      </c>
      <c r="AH87" s="9" t="b">
        <v>0</v>
      </c>
      <c r="AI87" s="9" t="b">
        <v>0</v>
      </c>
      <c r="AJ87" s="9" t="b">
        <v>0</v>
      </c>
      <c r="AK87" s="71" t="s">
        <v>190</v>
      </c>
      <c r="AL87" s="45">
        <v>-999</v>
      </c>
      <c r="AM87" s="44">
        <f t="shared" si="48"/>
        <v>-999</v>
      </c>
      <c r="AN87" s="149">
        <f t="shared" si="68"/>
        <v>-999</v>
      </c>
      <c r="AO87" s="45">
        <v>-999</v>
      </c>
      <c r="AP87" s="44">
        <f t="shared" si="49"/>
        <v>-999</v>
      </c>
      <c r="AQ87" s="149">
        <f t="shared" si="50"/>
        <v>-999</v>
      </c>
      <c r="AR87" s="45">
        <v>5.0999999999999996</v>
      </c>
      <c r="AS87" s="44">
        <f t="shared" si="51"/>
        <v>0.66974190317425253</v>
      </c>
      <c r="AT87" s="149">
        <f t="shared" si="52"/>
        <v>55.028999999999996</v>
      </c>
      <c r="AU87" s="45">
        <v>0.65</v>
      </c>
      <c r="AV87" s="44">
        <f t="shared" si="53"/>
        <v>0.24464136524791028</v>
      </c>
      <c r="AW87" s="149">
        <f t="shared" si="54"/>
        <v>7.0135000000000005</v>
      </c>
      <c r="AX87" s="45">
        <v>0</v>
      </c>
      <c r="AY87" s="44">
        <f t="shared" si="55"/>
        <v>0</v>
      </c>
      <c r="AZ87" s="149">
        <f t="shared" si="56"/>
        <v>0</v>
      </c>
      <c r="BA87" s="76">
        <v>5.8</v>
      </c>
      <c r="BB87" s="44">
        <f t="shared" si="57"/>
        <v>0.71158818051376826</v>
      </c>
      <c r="BC87" s="55">
        <f t="shared" si="58"/>
        <v>62.581999999999994</v>
      </c>
      <c r="BD87" s="137">
        <v>-999</v>
      </c>
      <c r="BE87" s="45">
        <v>-999</v>
      </c>
      <c r="BF87" s="45">
        <v>-999</v>
      </c>
      <c r="BG87" s="45">
        <v>-999</v>
      </c>
      <c r="BH87" s="45">
        <v>-999</v>
      </c>
      <c r="BI87" s="76">
        <v>-999</v>
      </c>
      <c r="BJ87" s="81">
        <f t="shared" si="59"/>
        <v>-999</v>
      </c>
      <c r="BK87" s="44">
        <f t="shared" si="60"/>
        <v>-999</v>
      </c>
      <c r="BL87" s="137">
        <v>-999</v>
      </c>
      <c r="BM87" s="45">
        <v>-999</v>
      </c>
      <c r="BN87" s="45">
        <v>-999</v>
      </c>
      <c r="BO87" s="45">
        <v>-999</v>
      </c>
      <c r="BP87" s="45">
        <v>-999</v>
      </c>
      <c r="BQ87" s="76">
        <v>-999</v>
      </c>
      <c r="BR87" s="81">
        <f t="shared" si="61"/>
        <v>-999</v>
      </c>
      <c r="BS87" s="44">
        <f t="shared" si="62"/>
        <v>-999</v>
      </c>
      <c r="BT87" s="71">
        <v>-999</v>
      </c>
      <c r="BU87" s="48">
        <v>-999</v>
      </c>
      <c r="BV87" s="44">
        <f t="shared" si="63"/>
        <v>-999</v>
      </c>
      <c r="BW87" s="48">
        <v>-999</v>
      </c>
      <c r="BX87" s="44">
        <f t="shared" si="64"/>
        <v>-999</v>
      </c>
      <c r="BY87" s="48">
        <v>-999</v>
      </c>
      <c r="BZ87" s="44">
        <f t="shared" si="65"/>
        <v>-999</v>
      </c>
      <c r="CA87" s="48">
        <v>-999</v>
      </c>
      <c r="CB87" s="44">
        <f t="shared" si="66"/>
        <v>-999</v>
      </c>
      <c r="CC87" s="48">
        <v>-999</v>
      </c>
      <c r="CD87" s="44">
        <f t="shared" si="67"/>
        <v>-999</v>
      </c>
      <c r="CE87" s="55">
        <v>-999</v>
      </c>
      <c r="CF87" s="129" t="s">
        <v>555</v>
      </c>
      <c r="CG87" s="32" t="b">
        <v>0</v>
      </c>
      <c r="CH87" s="10" t="b">
        <v>1</v>
      </c>
    </row>
    <row r="88" spans="1:86" s="7" customFormat="1" ht="21" customHeight="1">
      <c r="A88" s="10" t="s">
        <v>645</v>
      </c>
      <c r="B88" s="23" t="s">
        <v>446</v>
      </c>
      <c r="C88" s="23" t="s">
        <v>171</v>
      </c>
      <c r="D88" s="24">
        <v>2012</v>
      </c>
      <c r="E88" s="23" t="s">
        <v>176</v>
      </c>
      <c r="F88">
        <v>7</v>
      </c>
      <c r="G88" s="23">
        <v>1037</v>
      </c>
      <c r="H88" s="25" t="s">
        <v>29</v>
      </c>
      <c r="I88" s="25" t="s">
        <v>389</v>
      </c>
      <c r="J88" t="s">
        <v>522</v>
      </c>
      <c r="K88"/>
      <c r="L88" s="43">
        <v>60</v>
      </c>
      <c r="M88" s="26">
        <v>48</v>
      </c>
      <c r="N88" s="26">
        <v>-999</v>
      </c>
      <c r="O88" s="26">
        <v>26.3</v>
      </c>
      <c r="P88" s="26">
        <v>131</v>
      </c>
      <c r="Q88" s="26">
        <v>86.3</v>
      </c>
      <c r="R88" s="26">
        <v>91.9</v>
      </c>
      <c r="S88" s="103">
        <v>12.7</v>
      </c>
      <c r="T88" s="104" t="s">
        <v>86</v>
      </c>
      <c r="U88" s="105">
        <v>39.1</v>
      </c>
      <c r="V88" s="104" t="s">
        <v>48</v>
      </c>
      <c r="W88" s="105">
        <v>5.3</v>
      </c>
      <c r="X88" s="104" t="s">
        <v>180</v>
      </c>
      <c r="Y88" s="105">
        <v>23.4</v>
      </c>
      <c r="Z88" s="104" t="s">
        <v>80</v>
      </c>
      <c r="AA88" s="105">
        <v>4.2</v>
      </c>
      <c r="AB88" s="104" t="s">
        <v>181</v>
      </c>
      <c r="AC88" s="63">
        <v>15</v>
      </c>
      <c r="AD88" s="131">
        <f>AC88/28</f>
        <v>0.5357142857142857</v>
      </c>
      <c r="AE88" s="144">
        <f t="shared" si="46"/>
        <v>0.25</v>
      </c>
      <c r="AF88" s="146">
        <f t="shared" si="47"/>
        <v>0.43857142857142861</v>
      </c>
      <c r="AG88" s="27" t="b">
        <v>0</v>
      </c>
      <c r="AH88" s="27" t="b">
        <v>1</v>
      </c>
      <c r="AI88" s="27" t="b">
        <v>0</v>
      </c>
      <c r="AJ88" s="27" t="b">
        <v>0</v>
      </c>
      <c r="AK88" s="71" t="s">
        <v>190</v>
      </c>
      <c r="AL88" s="43">
        <v>-999</v>
      </c>
      <c r="AM88" s="44">
        <f t="shared" si="48"/>
        <v>-999</v>
      </c>
      <c r="AN88" s="149">
        <f t="shared" si="68"/>
        <v>-999</v>
      </c>
      <c r="AO88" s="43">
        <v>-999</v>
      </c>
      <c r="AP88" s="44">
        <f t="shared" si="49"/>
        <v>-999</v>
      </c>
      <c r="AQ88" s="149">
        <f t="shared" si="50"/>
        <v>-999</v>
      </c>
      <c r="AR88" s="43">
        <v>-999</v>
      </c>
      <c r="AS88" s="44">
        <f t="shared" si="51"/>
        <v>-999</v>
      </c>
      <c r="AT88" s="149">
        <f t="shared" si="52"/>
        <v>-999</v>
      </c>
      <c r="AU88" s="43">
        <v>-999</v>
      </c>
      <c r="AV88" s="44">
        <f t="shared" si="53"/>
        <v>-999</v>
      </c>
      <c r="AW88" s="149">
        <f t="shared" si="54"/>
        <v>-999</v>
      </c>
      <c r="AX88" s="43">
        <v>-999</v>
      </c>
      <c r="AY88" s="44">
        <f t="shared" si="55"/>
        <v>-999</v>
      </c>
      <c r="AZ88" s="149">
        <f t="shared" si="56"/>
        <v>-999</v>
      </c>
      <c r="BA88" s="77">
        <v>4.9000000000000004</v>
      </c>
      <c r="BB88" s="44">
        <f t="shared" si="57"/>
        <v>0.67034584260526875</v>
      </c>
      <c r="BC88" s="55">
        <f t="shared" si="58"/>
        <v>50.813000000000002</v>
      </c>
      <c r="BD88" s="138">
        <v>-999</v>
      </c>
      <c r="BE88" s="43">
        <v>-999</v>
      </c>
      <c r="BF88" s="43">
        <v>-999</v>
      </c>
      <c r="BG88" s="43">
        <v>-999</v>
      </c>
      <c r="BH88" s="43">
        <v>-999</v>
      </c>
      <c r="BI88" s="77">
        <v>6.9</v>
      </c>
      <c r="BJ88" s="81">
        <f t="shared" si="59"/>
        <v>71.553000000000011</v>
      </c>
      <c r="BK88" s="44">
        <f t="shared" si="60"/>
        <v>0.78706392619350796</v>
      </c>
      <c r="BL88" s="138">
        <v>-999</v>
      </c>
      <c r="BM88" s="43">
        <v>-999</v>
      </c>
      <c r="BN88" s="43">
        <v>-999</v>
      </c>
      <c r="BO88" s="43">
        <v>-999</v>
      </c>
      <c r="BP88" s="43">
        <v>-999</v>
      </c>
      <c r="BQ88" s="77">
        <v>5.7</v>
      </c>
      <c r="BR88" s="81">
        <f t="shared" si="61"/>
        <v>59.109000000000002</v>
      </c>
      <c r="BS88" s="44">
        <f t="shared" si="62"/>
        <v>0.71995258603124423</v>
      </c>
      <c r="BT88" s="71">
        <v>-999</v>
      </c>
      <c r="BU88" s="48">
        <v>-999</v>
      </c>
      <c r="BV88" s="44">
        <f t="shared" si="63"/>
        <v>-999</v>
      </c>
      <c r="BW88" s="48">
        <v>-999</v>
      </c>
      <c r="BX88" s="44">
        <f t="shared" si="64"/>
        <v>-999</v>
      </c>
      <c r="BY88" s="48">
        <v>-999</v>
      </c>
      <c r="BZ88" s="44">
        <f t="shared" si="65"/>
        <v>-999</v>
      </c>
      <c r="CA88" s="48">
        <v>-999</v>
      </c>
      <c r="CB88" s="44">
        <f t="shared" si="66"/>
        <v>-999</v>
      </c>
      <c r="CC88" s="48">
        <v>-999</v>
      </c>
      <c r="CD88" s="44">
        <f t="shared" si="67"/>
        <v>-999</v>
      </c>
      <c r="CE88" s="55">
        <v>-999</v>
      </c>
      <c r="CF88" s="129" t="s">
        <v>556</v>
      </c>
      <c r="CG88" s="32" t="b">
        <v>0</v>
      </c>
      <c r="CH88" s="10" t="b">
        <v>0</v>
      </c>
    </row>
    <row r="89" spans="1:86" s="7" customFormat="1" ht="21" customHeight="1">
      <c r="A89" s="10" t="s">
        <v>646</v>
      </c>
      <c r="B89" s="23" t="s">
        <v>508</v>
      </c>
      <c r="C89" s="19" t="s">
        <v>333</v>
      </c>
      <c r="D89" s="11" t="s">
        <v>334</v>
      </c>
      <c r="E89" s="19" t="s">
        <v>34</v>
      </c>
      <c r="F89">
        <v>5</v>
      </c>
      <c r="G89" s="19">
        <v>3981</v>
      </c>
      <c r="H89" s="19" t="s">
        <v>23</v>
      </c>
      <c r="I89" s="19" t="s">
        <v>335</v>
      </c>
      <c r="J89" t="s">
        <v>527</v>
      </c>
      <c r="K89"/>
      <c r="L89" s="47">
        <v>45.3</v>
      </c>
      <c r="M89" s="37">
        <v>51.7</v>
      </c>
      <c r="N89" s="37">
        <v>-999</v>
      </c>
      <c r="O89" s="37">
        <v>23.3</v>
      </c>
      <c r="P89" s="37">
        <v>130.69999999999999</v>
      </c>
      <c r="Q89" s="37">
        <v>82.1</v>
      </c>
      <c r="R89" s="37">
        <v>66.5</v>
      </c>
      <c r="S89" s="111">
        <v>5.8</v>
      </c>
      <c r="T89" s="112" t="s">
        <v>336</v>
      </c>
      <c r="U89" s="113">
        <v>15.04</v>
      </c>
      <c r="V89" s="112" t="s">
        <v>284</v>
      </c>
      <c r="W89" s="113">
        <v>5</v>
      </c>
      <c r="X89" s="112" t="s">
        <v>194</v>
      </c>
      <c r="Y89" s="113">
        <v>-999</v>
      </c>
      <c r="Z89" s="112">
        <v>-999</v>
      </c>
      <c r="AA89" s="113">
        <v>14.4</v>
      </c>
      <c r="AB89" s="112">
        <v>-999</v>
      </c>
      <c r="AC89" s="64">
        <v>22</v>
      </c>
      <c r="AD89" s="131">
        <v>0.7857142857142857</v>
      </c>
      <c r="AE89" s="144">
        <f t="shared" si="46"/>
        <v>0.25</v>
      </c>
      <c r="AF89" s="146">
        <f t="shared" si="47"/>
        <v>0.60357142857142854</v>
      </c>
      <c r="AG89" s="29" t="b">
        <v>0</v>
      </c>
      <c r="AH89" s="29" t="b">
        <v>1</v>
      </c>
      <c r="AI89" s="29" t="b">
        <v>0</v>
      </c>
      <c r="AJ89" s="29" t="b">
        <v>0</v>
      </c>
      <c r="AK89" s="73" t="s">
        <v>190</v>
      </c>
      <c r="AL89" s="48">
        <v>6.66</v>
      </c>
      <c r="AM89" s="55">
        <f t="shared" si="48"/>
        <v>0.39516177183924928</v>
      </c>
      <c r="AN89" s="149">
        <f t="shared" si="68"/>
        <v>265.13460000000003</v>
      </c>
      <c r="AO89" s="48">
        <v>2.91</v>
      </c>
      <c r="AP89" s="55">
        <f t="shared" si="49"/>
        <v>0.26640210752496929</v>
      </c>
      <c r="AQ89" s="149">
        <f t="shared" si="50"/>
        <v>115.8471</v>
      </c>
      <c r="AR89" s="48">
        <v>0.9</v>
      </c>
      <c r="AS89" s="55">
        <f t="shared" si="51"/>
        <v>0.14967938606706574</v>
      </c>
      <c r="AT89" s="149">
        <f t="shared" si="52"/>
        <v>35.829000000000008</v>
      </c>
      <c r="AU89" s="48">
        <v>0.1</v>
      </c>
      <c r="AV89" s="55">
        <f t="shared" si="53"/>
        <v>5.0094108873029862E-2</v>
      </c>
      <c r="AW89" s="149">
        <f t="shared" si="54"/>
        <v>3.9809999999999999</v>
      </c>
      <c r="AX89" s="48">
        <v>0</v>
      </c>
      <c r="AY89" s="55">
        <f t="shared" si="55"/>
        <v>0</v>
      </c>
      <c r="AZ89" s="149">
        <f t="shared" si="56"/>
        <v>0</v>
      </c>
      <c r="BA89" s="75">
        <v>10.5</v>
      </c>
      <c r="BB89" s="55">
        <f t="shared" si="57"/>
        <v>0.48585880582861285</v>
      </c>
      <c r="BC89" s="55">
        <f t="shared" si="58"/>
        <v>418.005</v>
      </c>
      <c r="BD89" s="136">
        <v>-999</v>
      </c>
      <c r="BE89" s="48">
        <v>-999</v>
      </c>
      <c r="BF89" s="48">
        <v>-999</v>
      </c>
      <c r="BG89" s="48">
        <v>-999</v>
      </c>
      <c r="BH89" s="48">
        <v>-999</v>
      </c>
      <c r="BI89" s="75">
        <v>8.17</v>
      </c>
      <c r="BJ89" s="81">
        <f t="shared" si="59"/>
        <v>325.24769999999995</v>
      </c>
      <c r="BK89" s="55">
        <f t="shared" si="60"/>
        <v>0.4341174383317869</v>
      </c>
      <c r="BL89" s="136">
        <v>-999</v>
      </c>
      <c r="BM89" s="48">
        <v>-999</v>
      </c>
      <c r="BN89" s="48">
        <v>-999</v>
      </c>
      <c r="BO89" s="48">
        <v>-999</v>
      </c>
      <c r="BP89" s="48">
        <v>-999</v>
      </c>
      <c r="BQ89" s="75">
        <v>13.5</v>
      </c>
      <c r="BR89" s="81">
        <f t="shared" si="61"/>
        <v>537.43500000000006</v>
      </c>
      <c r="BS89" s="55">
        <f t="shared" si="62"/>
        <v>0.54160024132348561</v>
      </c>
      <c r="BT89" s="73">
        <v>-999</v>
      </c>
      <c r="BU89" s="48">
        <v>-999</v>
      </c>
      <c r="BV89" s="55">
        <f t="shared" si="63"/>
        <v>-999</v>
      </c>
      <c r="BW89" s="48">
        <v>-999</v>
      </c>
      <c r="BX89" s="55">
        <f t="shared" si="64"/>
        <v>-999</v>
      </c>
      <c r="BY89" s="48">
        <v>-999</v>
      </c>
      <c r="BZ89" s="55">
        <f t="shared" si="65"/>
        <v>-999</v>
      </c>
      <c r="CA89" s="48">
        <v>-999</v>
      </c>
      <c r="CB89" s="55">
        <f t="shared" si="66"/>
        <v>-999</v>
      </c>
      <c r="CC89" s="48">
        <v>-999</v>
      </c>
      <c r="CD89" s="55">
        <f t="shared" si="67"/>
        <v>-999</v>
      </c>
      <c r="CE89" s="55">
        <v>-999</v>
      </c>
      <c r="CF89" s="129" t="s">
        <v>556</v>
      </c>
      <c r="CG89" s="30" t="b">
        <v>1</v>
      </c>
      <c r="CH89" s="10" t="b">
        <v>1</v>
      </c>
    </row>
    <row r="90" spans="1:86" s="7" customFormat="1" ht="21" customHeight="1">
      <c r="A90" s="10" t="s">
        <v>687</v>
      </c>
      <c r="B90" s="23" t="s">
        <v>450</v>
      </c>
      <c r="C90" s="7" t="s">
        <v>575</v>
      </c>
      <c r="D90" s="8">
        <v>2007</v>
      </c>
      <c r="E90" s="10" t="s">
        <v>34</v>
      </c>
      <c r="F90">
        <v>5</v>
      </c>
      <c r="G90" s="7">
        <v>1999</v>
      </c>
      <c r="H90" s="7" t="s">
        <v>29</v>
      </c>
      <c r="I90" s="25" t="s">
        <v>389</v>
      </c>
      <c r="J90" t="s">
        <v>522</v>
      </c>
      <c r="K90"/>
      <c r="L90" s="44">
        <v>69.7</v>
      </c>
      <c r="M90" s="9">
        <v>53</v>
      </c>
      <c r="N90" s="9">
        <v>57</v>
      </c>
      <c r="O90" s="9">
        <v>23.1</v>
      </c>
      <c r="P90" s="9">
        <v>125</v>
      </c>
      <c r="Q90" s="9">
        <v>77</v>
      </c>
      <c r="R90" s="9">
        <v>-999</v>
      </c>
      <c r="S90" s="100">
        <v>5.5</v>
      </c>
      <c r="T90" s="101">
        <v>-999</v>
      </c>
      <c r="U90" s="102">
        <v>30</v>
      </c>
      <c r="V90" s="101" t="s">
        <v>48</v>
      </c>
      <c r="W90" s="102">
        <v>2.8000000000000003</v>
      </c>
      <c r="X90" s="101" t="s">
        <v>49</v>
      </c>
      <c r="Y90" s="102">
        <v>-999</v>
      </c>
      <c r="Z90" s="101">
        <v>-999</v>
      </c>
      <c r="AA90" s="102">
        <v>11</v>
      </c>
      <c r="AB90" s="101" t="s">
        <v>25</v>
      </c>
      <c r="AC90" s="64">
        <v>18</v>
      </c>
      <c r="AD90" s="131">
        <f>AC90/28</f>
        <v>0.6428571428571429</v>
      </c>
      <c r="AE90" s="144">
        <f t="shared" si="46"/>
        <v>0</v>
      </c>
      <c r="AF90" s="146">
        <f t="shared" si="47"/>
        <v>0.42428571428571432</v>
      </c>
      <c r="AG90" s="9" t="b">
        <v>0</v>
      </c>
      <c r="AH90" s="9" t="b">
        <v>0</v>
      </c>
      <c r="AI90" s="9" t="b">
        <v>0</v>
      </c>
      <c r="AJ90" s="9" t="b">
        <v>0</v>
      </c>
      <c r="AK90" s="71" t="s">
        <v>190</v>
      </c>
      <c r="AL90" s="45">
        <v>-999</v>
      </c>
      <c r="AM90" s="44">
        <f t="shared" si="48"/>
        <v>-999</v>
      </c>
      <c r="AN90" s="149">
        <f t="shared" si="68"/>
        <v>-999</v>
      </c>
      <c r="AO90" s="45">
        <v>-999</v>
      </c>
      <c r="AP90" s="44">
        <f t="shared" si="49"/>
        <v>-999</v>
      </c>
      <c r="AQ90" s="149">
        <f t="shared" si="50"/>
        <v>-999</v>
      </c>
      <c r="AR90" s="45">
        <v>14.000000000000002</v>
      </c>
      <c r="AS90" s="44">
        <f t="shared" si="51"/>
        <v>0.77608063406793482</v>
      </c>
      <c r="AT90" s="149">
        <f t="shared" si="52"/>
        <v>279.86</v>
      </c>
      <c r="AU90" s="45">
        <v>0.3</v>
      </c>
      <c r="AV90" s="44">
        <f t="shared" si="53"/>
        <v>0.12232122154646882</v>
      </c>
      <c r="AW90" s="149">
        <f t="shared" si="54"/>
        <v>5.9969999999999999</v>
      </c>
      <c r="AX90" s="45">
        <v>0.3</v>
      </c>
      <c r="AY90" s="44">
        <f t="shared" si="55"/>
        <v>0.12232122154646882</v>
      </c>
      <c r="AZ90" s="149">
        <f t="shared" si="56"/>
        <v>5.9969999999999999</v>
      </c>
      <c r="BA90" s="76">
        <v>14.600000000000001</v>
      </c>
      <c r="BB90" s="44">
        <f t="shared" si="57"/>
        <v>0.78976696938588575</v>
      </c>
      <c r="BC90" s="55">
        <f t="shared" si="58"/>
        <v>291.85400000000004</v>
      </c>
      <c r="BD90" s="137">
        <v>-999</v>
      </c>
      <c r="BE90" s="45">
        <v>-999</v>
      </c>
      <c r="BF90" s="45">
        <v>14.000000000000002</v>
      </c>
      <c r="BG90" s="45">
        <v>0.4</v>
      </c>
      <c r="BH90" s="45">
        <v>0.2</v>
      </c>
      <c r="BI90" s="76">
        <v>14.6</v>
      </c>
      <c r="BJ90" s="81">
        <f t="shared" si="59"/>
        <v>291.85399999999998</v>
      </c>
      <c r="BK90" s="44">
        <f t="shared" si="60"/>
        <v>0.78976696938588575</v>
      </c>
      <c r="BL90" s="137">
        <v>-999</v>
      </c>
      <c r="BM90" s="45">
        <v>-999</v>
      </c>
      <c r="BN90" s="45">
        <v>13</v>
      </c>
      <c r="BO90" s="45">
        <v>0.3</v>
      </c>
      <c r="BP90" s="45">
        <v>0.4</v>
      </c>
      <c r="BQ90" s="76">
        <v>13.700000000000001</v>
      </c>
      <c r="BR90" s="81">
        <f t="shared" si="61"/>
        <v>273.863</v>
      </c>
      <c r="BS90" s="44">
        <f t="shared" si="62"/>
        <v>0.7690583367747087</v>
      </c>
      <c r="BT90" s="71">
        <v>-999</v>
      </c>
      <c r="BU90" s="48">
        <v>-999</v>
      </c>
      <c r="BV90" s="44">
        <f t="shared" si="63"/>
        <v>-999</v>
      </c>
      <c r="BW90" s="48">
        <v>-999</v>
      </c>
      <c r="BX90" s="44">
        <f t="shared" si="64"/>
        <v>-999</v>
      </c>
      <c r="BY90" s="48">
        <v>-999</v>
      </c>
      <c r="BZ90" s="44">
        <f t="shared" si="65"/>
        <v>-999</v>
      </c>
      <c r="CA90" s="48">
        <v>-999</v>
      </c>
      <c r="CB90" s="44">
        <f t="shared" si="66"/>
        <v>-999</v>
      </c>
      <c r="CC90" s="48">
        <v>-999</v>
      </c>
      <c r="CD90" s="44">
        <f t="shared" si="67"/>
        <v>-999</v>
      </c>
      <c r="CE90" s="55">
        <v>-999</v>
      </c>
      <c r="CF90" s="129" t="s">
        <v>555</v>
      </c>
      <c r="CG90" s="10" t="b">
        <v>0</v>
      </c>
      <c r="CH90" s="10" t="b">
        <v>0</v>
      </c>
    </row>
    <row r="91" spans="1:86" s="7" customFormat="1" ht="21" customHeight="1">
      <c r="A91" s="10" t="s">
        <v>687</v>
      </c>
      <c r="B91" s="23" t="s">
        <v>448</v>
      </c>
      <c r="C91" s="7" t="s">
        <v>574</v>
      </c>
      <c r="D91" s="8">
        <v>2007</v>
      </c>
      <c r="E91" s="7" t="s">
        <v>87</v>
      </c>
      <c r="F91">
        <v>5</v>
      </c>
      <c r="G91" s="7">
        <v>997</v>
      </c>
      <c r="H91" s="7" t="s">
        <v>29</v>
      </c>
      <c r="I91" s="25" t="s">
        <v>389</v>
      </c>
      <c r="J91" t="s">
        <v>522</v>
      </c>
      <c r="K91"/>
      <c r="L91" s="44">
        <v>74</v>
      </c>
      <c r="M91" s="9">
        <v>40</v>
      </c>
      <c r="N91" s="9">
        <v>63</v>
      </c>
      <c r="O91" s="9">
        <v>25</v>
      </c>
      <c r="P91" s="9">
        <v>110</v>
      </c>
      <c r="Q91" s="9">
        <v>80</v>
      </c>
      <c r="R91" s="9">
        <v>-999</v>
      </c>
      <c r="S91" s="100">
        <v>2.2155085599194364</v>
      </c>
      <c r="T91" s="101">
        <v>-999</v>
      </c>
      <c r="U91" s="102">
        <v>24</v>
      </c>
      <c r="V91" s="101" t="s">
        <v>48</v>
      </c>
      <c r="W91" s="102">
        <v>5.4</v>
      </c>
      <c r="X91" s="101" t="s">
        <v>49</v>
      </c>
      <c r="Y91" s="102">
        <v>-999</v>
      </c>
      <c r="Z91" s="101">
        <v>-999</v>
      </c>
      <c r="AA91" s="102">
        <v>17</v>
      </c>
      <c r="AB91" s="101" t="s">
        <v>25</v>
      </c>
      <c r="AC91" s="64">
        <v>18</v>
      </c>
      <c r="AD91" s="131">
        <f>AC91/28</f>
        <v>0.6428571428571429</v>
      </c>
      <c r="AE91" s="144">
        <f t="shared" si="46"/>
        <v>0</v>
      </c>
      <c r="AF91" s="146">
        <f t="shared" si="47"/>
        <v>0.42428571428571432</v>
      </c>
      <c r="AG91" s="9" t="b">
        <v>0</v>
      </c>
      <c r="AH91" s="9" t="b">
        <v>0</v>
      </c>
      <c r="AI91" s="9" t="b">
        <v>0</v>
      </c>
      <c r="AJ91" s="9" t="b">
        <v>0</v>
      </c>
      <c r="AK91" s="71" t="s">
        <v>190</v>
      </c>
      <c r="AL91" s="45">
        <v>-999</v>
      </c>
      <c r="AM91" s="44">
        <f t="shared" si="48"/>
        <v>-999</v>
      </c>
      <c r="AN91" s="149">
        <f t="shared" si="68"/>
        <v>-999</v>
      </c>
      <c r="AO91" s="45">
        <v>-999</v>
      </c>
      <c r="AP91" s="44">
        <f t="shared" si="49"/>
        <v>-999</v>
      </c>
      <c r="AQ91" s="149">
        <f t="shared" si="50"/>
        <v>-999</v>
      </c>
      <c r="AR91" s="45">
        <v>7.0000000000000009</v>
      </c>
      <c r="AS91" s="44">
        <f t="shared" si="51"/>
        <v>0.80805870865296037</v>
      </c>
      <c r="AT91" s="149">
        <f t="shared" si="52"/>
        <v>69.790000000000006</v>
      </c>
      <c r="AU91" s="45">
        <v>1</v>
      </c>
      <c r="AV91" s="44">
        <f t="shared" si="53"/>
        <v>0.31511568301346587</v>
      </c>
      <c r="AW91" s="149">
        <f t="shared" si="54"/>
        <v>9.9700000000000006</v>
      </c>
      <c r="AX91" s="45">
        <v>7.0000000000000007E-2</v>
      </c>
      <c r="AY91" s="44">
        <f t="shared" si="55"/>
        <v>8.3762452479234445E-2</v>
      </c>
      <c r="AZ91" s="149">
        <f t="shared" si="56"/>
        <v>0.69790000000000008</v>
      </c>
      <c r="BA91" s="76">
        <v>8.07</v>
      </c>
      <c r="BB91" s="44">
        <f t="shared" si="57"/>
        <v>0.86261661372060328</v>
      </c>
      <c r="BC91" s="55">
        <f t="shared" si="58"/>
        <v>80.457900000000009</v>
      </c>
      <c r="BD91" s="137">
        <v>-999</v>
      </c>
      <c r="BE91" s="45">
        <v>-999</v>
      </c>
      <c r="BF91" s="45">
        <v>4</v>
      </c>
      <c r="BG91" s="45">
        <v>1</v>
      </c>
      <c r="BH91" s="45">
        <v>0.1</v>
      </c>
      <c r="BI91" s="76">
        <v>5.0999999999999996</v>
      </c>
      <c r="BJ91" s="81">
        <f t="shared" si="59"/>
        <v>50.846999999999994</v>
      </c>
      <c r="BK91" s="44">
        <f t="shared" si="60"/>
        <v>0.6967397929048198</v>
      </c>
      <c r="BL91" s="137">
        <v>-999</v>
      </c>
      <c r="BM91" s="45">
        <v>-999</v>
      </c>
      <c r="BN91" s="45">
        <v>8</v>
      </c>
      <c r="BO91" s="45">
        <v>1</v>
      </c>
      <c r="BP91" s="45">
        <v>0.6</v>
      </c>
      <c r="BQ91" s="76">
        <v>9.6</v>
      </c>
      <c r="BR91" s="81">
        <f t="shared" si="61"/>
        <v>95.712000000000003</v>
      </c>
      <c r="BS91" s="44">
        <f t="shared" si="62"/>
        <v>0.93297982510994659</v>
      </c>
      <c r="BT91" s="71">
        <v>-999</v>
      </c>
      <c r="BU91" s="48">
        <v>-999</v>
      </c>
      <c r="BV91" s="44">
        <f t="shared" si="63"/>
        <v>-999</v>
      </c>
      <c r="BW91" s="48">
        <v>-999</v>
      </c>
      <c r="BX91" s="44">
        <f t="shared" si="64"/>
        <v>-999</v>
      </c>
      <c r="BY91" s="48">
        <v>-999</v>
      </c>
      <c r="BZ91" s="44">
        <f t="shared" si="65"/>
        <v>-999</v>
      </c>
      <c r="CA91" s="48">
        <v>-999</v>
      </c>
      <c r="CB91" s="44">
        <f t="shared" si="66"/>
        <v>-999</v>
      </c>
      <c r="CC91" s="48">
        <v>-999</v>
      </c>
      <c r="CD91" s="44">
        <f t="shared" si="67"/>
        <v>-999</v>
      </c>
      <c r="CE91" s="55">
        <v>-999</v>
      </c>
      <c r="CF91" s="129" t="s">
        <v>555</v>
      </c>
      <c r="CG91" s="10" t="b">
        <v>0</v>
      </c>
      <c r="CH91" s="10" t="b">
        <v>0</v>
      </c>
    </row>
    <row r="92" spans="1:86" s="7" customFormat="1" ht="21" customHeight="1">
      <c r="A92" s="10" t="s">
        <v>687</v>
      </c>
      <c r="B92" s="23" t="s">
        <v>449</v>
      </c>
      <c r="C92" s="7" t="s">
        <v>712</v>
      </c>
      <c r="D92" s="8">
        <v>2007</v>
      </c>
      <c r="E92" s="7" t="s">
        <v>89</v>
      </c>
      <c r="F92">
        <v>5</v>
      </c>
      <c r="G92" s="7">
        <v>8398</v>
      </c>
      <c r="H92" s="7" t="s">
        <v>29</v>
      </c>
      <c r="I92" s="7" t="s">
        <v>398</v>
      </c>
      <c r="J92" t="s">
        <v>525</v>
      </c>
      <c r="K92"/>
      <c r="L92" s="44">
        <v>62</v>
      </c>
      <c r="M92" s="9">
        <v>38</v>
      </c>
      <c r="N92" s="9">
        <v>55</v>
      </c>
      <c r="O92" s="9">
        <v>22.8</v>
      </c>
      <c r="P92" s="9">
        <v>120</v>
      </c>
      <c r="Q92" s="9">
        <v>80</v>
      </c>
      <c r="R92" s="9">
        <v>-999</v>
      </c>
      <c r="S92" s="100">
        <v>7.7</v>
      </c>
      <c r="T92" s="101">
        <v>-999</v>
      </c>
      <c r="U92" s="102">
        <v>34</v>
      </c>
      <c r="V92" s="101" t="s">
        <v>48</v>
      </c>
      <c r="W92" s="102">
        <v>10.299999999999999</v>
      </c>
      <c r="X92" s="101" t="s">
        <v>49</v>
      </c>
      <c r="Y92" s="102">
        <v>-999</v>
      </c>
      <c r="Z92" s="101">
        <v>-999</v>
      </c>
      <c r="AA92" s="102">
        <v>11</v>
      </c>
      <c r="AB92" s="101" t="s">
        <v>25</v>
      </c>
      <c r="AC92" s="64">
        <v>18</v>
      </c>
      <c r="AD92" s="131">
        <f>AC92/28</f>
        <v>0.6428571428571429</v>
      </c>
      <c r="AE92" s="144">
        <f t="shared" si="46"/>
        <v>0</v>
      </c>
      <c r="AF92" s="146">
        <f t="shared" si="47"/>
        <v>0.42428571428571432</v>
      </c>
      <c r="AG92" s="9" t="b">
        <v>0</v>
      </c>
      <c r="AH92" s="9" t="b">
        <v>0</v>
      </c>
      <c r="AI92" s="9" t="b">
        <v>0</v>
      </c>
      <c r="AJ92" s="9" t="b">
        <v>0</v>
      </c>
      <c r="AK92" s="71" t="s">
        <v>190</v>
      </c>
      <c r="AL92" s="45">
        <v>-999</v>
      </c>
      <c r="AM92" s="44">
        <f t="shared" si="48"/>
        <v>-999</v>
      </c>
      <c r="AN92" s="149">
        <f t="shared" si="68"/>
        <v>-999</v>
      </c>
      <c r="AO92" s="45">
        <v>-999</v>
      </c>
      <c r="AP92" s="44">
        <f t="shared" si="49"/>
        <v>-999</v>
      </c>
      <c r="AQ92" s="149">
        <f t="shared" si="50"/>
        <v>-999</v>
      </c>
      <c r="AR92" s="45">
        <v>14.000000000000002</v>
      </c>
      <c r="AS92" s="44">
        <f t="shared" si="51"/>
        <v>0.37863896847111217</v>
      </c>
      <c r="AT92" s="149">
        <f t="shared" si="52"/>
        <v>1175.72</v>
      </c>
      <c r="AU92" s="45">
        <v>0.3</v>
      </c>
      <c r="AV92" s="44">
        <f t="shared" si="53"/>
        <v>5.9678826033464798E-2</v>
      </c>
      <c r="AW92" s="149">
        <f t="shared" si="54"/>
        <v>25.193999999999999</v>
      </c>
      <c r="AX92" s="45">
        <v>0.1</v>
      </c>
      <c r="AY92" s="44">
        <f t="shared" si="55"/>
        <v>3.4490128225144391E-2</v>
      </c>
      <c r="AZ92" s="149">
        <f t="shared" si="56"/>
        <v>8.3979999999999997</v>
      </c>
      <c r="BA92" s="76">
        <v>14.400000000000002</v>
      </c>
      <c r="BB92" s="44">
        <f t="shared" si="57"/>
        <v>0.38311591488621893</v>
      </c>
      <c r="BC92" s="55">
        <f t="shared" si="58"/>
        <v>1209.3120000000001</v>
      </c>
      <c r="BD92" s="137">
        <v>-999</v>
      </c>
      <c r="BE92" s="45">
        <v>-999</v>
      </c>
      <c r="BF92" s="45">
        <v>11</v>
      </c>
      <c r="BG92" s="45">
        <v>0.4</v>
      </c>
      <c r="BH92" s="45">
        <v>0</v>
      </c>
      <c r="BI92" s="76">
        <v>11.4</v>
      </c>
      <c r="BJ92" s="81">
        <f t="shared" si="59"/>
        <v>957.37200000000007</v>
      </c>
      <c r="BK92" s="44">
        <f t="shared" si="60"/>
        <v>0.34680180681863476</v>
      </c>
      <c r="BL92" s="137">
        <v>-999</v>
      </c>
      <c r="BM92" s="45">
        <v>-999</v>
      </c>
      <c r="BN92" s="45">
        <v>16</v>
      </c>
      <c r="BO92" s="45">
        <v>0.3</v>
      </c>
      <c r="BP92" s="45">
        <v>0.1</v>
      </c>
      <c r="BQ92" s="76">
        <v>16.400000000000002</v>
      </c>
      <c r="BR92" s="81">
        <f t="shared" si="61"/>
        <v>1377.2720000000004</v>
      </c>
      <c r="BS92" s="44">
        <f t="shared" si="62"/>
        <v>0.40405187606548276</v>
      </c>
      <c r="BT92" s="71">
        <v>-999</v>
      </c>
      <c r="BU92" s="48">
        <v>-999</v>
      </c>
      <c r="BV92" s="44">
        <f t="shared" si="63"/>
        <v>-999</v>
      </c>
      <c r="BW92" s="48">
        <v>-999</v>
      </c>
      <c r="BX92" s="44">
        <f t="shared" si="64"/>
        <v>-999</v>
      </c>
      <c r="BY92" s="48">
        <v>-999</v>
      </c>
      <c r="BZ92" s="44">
        <f t="shared" si="65"/>
        <v>-999</v>
      </c>
      <c r="CA92" s="48">
        <v>-999</v>
      </c>
      <c r="CB92" s="44">
        <f t="shared" si="66"/>
        <v>-999</v>
      </c>
      <c r="CC92" s="48">
        <v>-999</v>
      </c>
      <c r="CD92" s="44">
        <f t="shared" si="67"/>
        <v>-999</v>
      </c>
      <c r="CE92" s="55">
        <v>-999</v>
      </c>
      <c r="CF92" s="129" t="s">
        <v>555</v>
      </c>
      <c r="CG92" s="10" t="b">
        <v>0</v>
      </c>
      <c r="CH92" s="10" t="b">
        <v>0</v>
      </c>
    </row>
    <row r="93" spans="1:86" s="30" customFormat="1" ht="21" customHeight="1">
      <c r="A93" s="10" t="s">
        <v>686</v>
      </c>
      <c r="B93" s="23" t="s">
        <v>447</v>
      </c>
      <c r="C93" s="7" t="s">
        <v>711</v>
      </c>
      <c r="D93" s="11" t="s">
        <v>88</v>
      </c>
      <c r="E93" s="10" t="s">
        <v>89</v>
      </c>
      <c r="F93">
        <v>5</v>
      </c>
      <c r="G93" s="10">
        <v>3218</v>
      </c>
      <c r="H93" s="10" t="s">
        <v>23</v>
      </c>
      <c r="I93" s="10" t="s">
        <v>391</v>
      </c>
      <c r="J93" t="s">
        <v>522</v>
      </c>
      <c r="K93"/>
      <c r="L93" s="45">
        <v>52.1</v>
      </c>
      <c r="M93" s="12">
        <v>42.9</v>
      </c>
      <c r="N93" s="12">
        <v>-999</v>
      </c>
      <c r="O93" s="12">
        <v>-999</v>
      </c>
      <c r="P93" s="12">
        <v>-999</v>
      </c>
      <c r="Q93" s="12">
        <v>-999</v>
      </c>
      <c r="R93" s="12">
        <v>-999</v>
      </c>
      <c r="S93" s="100">
        <v>7.5</v>
      </c>
      <c r="T93" s="101">
        <v>-999</v>
      </c>
      <c r="U93" s="102">
        <v>38.6</v>
      </c>
      <c r="V93" s="101">
        <v>-999</v>
      </c>
      <c r="W93" s="102">
        <v>5.0999999999999996</v>
      </c>
      <c r="X93" s="109" t="s">
        <v>65</v>
      </c>
      <c r="Y93" s="102">
        <v>5</v>
      </c>
      <c r="Z93" s="101">
        <v>-999</v>
      </c>
      <c r="AA93" s="102">
        <v>23.7</v>
      </c>
      <c r="AB93" s="101">
        <v>-999</v>
      </c>
      <c r="AC93" s="64">
        <v>14</v>
      </c>
      <c r="AD93" s="131">
        <f>AC93/28</f>
        <v>0.5</v>
      </c>
      <c r="AE93" s="144">
        <f t="shared" si="46"/>
        <v>0</v>
      </c>
      <c r="AF93" s="146">
        <f t="shared" si="47"/>
        <v>0.33</v>
      </c>
      <c r="AG93" s="9" t="b">
        <v>0</v>
      </c>
      <c r="AH93" s="9" t="b">
        <v>0</v>
      </c>
      <c r="AI93" s="9" t="b">
        <v>0</v>
      </c>
      <c r="AJ93" s="9" t="b">
        <v>0</v>
      </c>
      <c r="AK93" s="71" t="s">
        <v>190</v>
      </c>
      <c r="AL93" s="45">
        <v>-999</v>
      </c>
      <c r="AM93" s="44">
        <f t="shared" si="48"/>
        <v>-999</v>
      </c>
      <c r="AN93" s="149">
        <f t="shared" si="68"/>
        <v>-999</v>
      </c>
      <c r="AO93" s="45">
        <v>-999</v>
      </c>
      <c r="AP93" s="44">
        <f t="shared" si="49"/>
        <v>-999</v>
      </c>
      <c r="AQ93" s="149">
        <f t="shared" si="50"/>
        <v>-999</v>
      </c>
      <c r="AR93" s="45">
        <v>-999</v>
      </c>
      <c r="AS93" s="44">
        <f t="shared" si="51"/>
        <v>-999</v>
      </c>
      <c r="AT93" s="149">
        <f t="shared" si="52"/>
        <v>-999</v>
      </c>
      <c r="AU93" s="45">
        <v>-999</v>
      </c>
      <c r="AV93" s="44">
        <f t="shared" si="53"/>
        <v>-999</v>
      </c>
      <c r="AW93" s="149">
        <f t="shared" si="54"/>
        <v>-999</v>
      </c>
      <c r="AX93" s="45">
        <v>-999</v>
      </c>
      <c r="AY93" s="44">
        <f t="shared" si="55"/>
        <v>-999</v>
      </c>
      <c r="AZ93" s="149">
        <f t="shared" si="56"/>
        <v>-999</v>
      </c>
      <c r="BA93" s="76">
        <v>10.6</v>
      </c>
      <c r="BB93" s="44">
        <f t="shared" si="57"/>
        <v>0.54266107666460361</v>
      </c>
      <c r="BC93" s="55">
        <f t="shared" si="58"/>
        <v>341.108</v>
      </c>
      <c r="BD93" s="137">
        <v>-999</v>
      </c>
      <c r="BE93" s="45">
        <v>-999</v>
      </c>
      <c r="BF93" s="45">
        <v>-999</v>
      </c>
      <c r="BG93" s="45">
        <v>-999</v>
      </c>
      <c r="BH93" s="45">
        <v>-999</v>
      </c>
      <c r="BI93" s="76">
        <v>-999</v>
      </c>
      <c r="BJ93" s="81">
        <f t="shared" si="59"/>
        <v>-999</v>
      </c>
      <c r="BK93" s="44">
        <f t="shared" si="60"/>
        <v>-999</v>
      </c>
      <c r="BL93" s="137">
        <v>-999</v>
      </c>
      <c r="BM93" s="45">
        <v>-999</v>
      </c>
      <c r="BN93" s="45">
        <v>-999</v>
      </c>
      <c r="BO93" s="45">
        <v>-999</v>
      </c>
      <c r="BP93" s="45">
        <v>-999</v>
      </c>
      <c r="BQ93" s="76">
        <v>-999</v>
      </c>
      <c r="BR93" s="81">
        <f t="shared" si="61"/>
        <v>-999</v>
      </c>
      <c r="BS93" s="44">
        <f t="shared" si="62"/>
        <v>-999</v>
      </c>
      <c r="BT93" s="71">
        <v>-999</v>
      </c>
      <c r="BU93" s="48">
        <v>-999</v>
      </c>
      <c r="BV93" s="44">
        <f t="shared" si="63"/>
        <v>-999</v>
      </c>
      <c r="BW93" s="48">
        <v>-999</v>
      </c>
      <c r="BX93" s="44">
        <f t="shared" si="64"/>
        <v>-999</v>
      </c>
      <c r="BY93" s="48">
        <v>-999</v>
      </c>
      <c r="BZ93" s="44">
        <f t="shared" si="65"/>
        <v>-999</v>
      </c>
      <c r="CA93" s="48">
        <v>-999</v>
      </c>
      <c r="CB93" s="44">
        <f t="shared" si="66"/>
        <v>-999</v>
      </c>
      <c r="CC93" s="48">
        <v>-999</v>
      </c>
      <c r="CD93" s="44">
        <f t="shared" si="67"/>
        <v>-999</v>
      </c>
      <c r="CE93" s="55">
        <v>-999</v>
      </c>
      <c r="CF93" s="129" t="s">
        <v>556</v>
      </c>
      <c r="CG93" s="30" t="b">
        <v>0</v>
      </c>
      <c r="CH93" s="10" t="b">
        <v>0</v>
      </c>
    </row>
    <row r="94" spans="1:86" s="7" customFormat="1" ht="21" customHeight="1">
      <c r="A94" s="7" t="s">
        <v>647</v>
      </c>
      <c r="B94" s="23" t="s">
        <v>509</v>
      </c>
      <c r="C94" s="19" t="s">
        <v>337</v>
      </c>
      <c r="D94" s="11">
        <v>2010</v>
      </c>
      <c r="E94" s="19" t="s">
        <v>106</v>
      </c>
      <c r="F94">
        <v>6</v>
      </c>
      <c r="G94" s="19">
        <v>5286</v>
      </c>
      <c r="H94" s="19" t="s">
        <v>29</v>
      </c>
      <c r="I94" s="19" t="s">
        <v>339</v>
      </c>
      <c r="J94" t="s">
        <v>522</v>
      </c>
      <c r="K94"/>
      <c r="L94" s="47">
        <v>54.6</v>
      </c>
      <c r="M94" s="12">
        <v>-999</v>
      </c>
      <c r="N94" s="37">
        <v>62.5</v>
      </c>
      <c r="O94" s="37">
        <v>23.7</v>
      </c>
      <c r="P94" s="37">
        <v>121.5</v>
      </c>
      <c r="Q94" s="37">
        <v>77.599999999999994</v>
      </c>
      <c r="R94" s="37">
        <v>72.5</v>
      </c>
      <c r="S94" s="111">
        <v>8.4</v>
      </c>
      <c r="T94" s="112">
        <v>-999</v>
      </c>
      <c r="U94" s="113">
        <v>22.9</v>
      </c>
      <c r="V94" s="112">
        <v>-999</v>
      </c>
      <c r="W94" s="113">
        <v>7.9</v>
      </c>
      <c r="X94" s="112">
        <v>-999</v>
      </c>
      <c r="Y94" s="113">
        <v>32.1</v>
      </c>
      <c r="Z94" s="112" t="s">
        <v>338</v>
      </c>
      <c r="AA94" s="113">
        <v>21.8</v>
      </c>
      <c r="AB94" s="112">
        <v>-999</v>
      </c>
      <c r="AC94" s="64">
        <v>24</v>
      </c>
      <c r="AD94" s="131">
        <v>0.8571428571428571</v>
      </c>
      <c r="AE94" s="144">
        <f t="shared" si="46"/>
        <v>0.5</v>
      </c>
      <c r="AF94" s="146">
        <f t="shared" si="47"/>
        <v>0.73571428571428577</v>
      </c>
      <c r="AG94" s="29" t="b">
        <v>0</v>
      </c>
      <c r="AH94" s="29" t="b">
        <v>1</v>
      </c>
      <c r="AI94" s="29" t="b">
        <v>0</v>
      </c>
      <c r="AJ94" s="29" t="b">
        <v>1</v>
      </c>
      <c r="AK94" s="73" t="s">
        <v>190</v>
      </c>
      <c r="AL94" s="48">
        <v>-999</v>
      </c>
      <c r="AM94" s="55">
        <f t="shared" si="48"/>
        <v>-999</v>
      </c>
      <c r="AN94" s="149">
        <f t="shared" si="68"/>
        <v>-999</v>
      </c>
      <c r="AO94" s="48">
        <v>-999</v>
      </c>
      <c r="AP94" s="55">
        <f t="shared" si="49"/>
        <v>-999</v>
      </c>
      <c r="AQ94" s="149">
        <f t="shared" si="50"/>
        <v>-999</v>
      </c>
      <c r="AR94" s="48">
        <v>-999</v>
      </c>
      <c r="AS94" s="55">
        <f t="shared" si="51"/>
        <v>-999</v>
      </c>
      <c r="AT94" s="149">
        <f t="shared" si="52"/>
        <v>-999</v>
      </c>
      <c r="AU94" s="48">
        <v>-999</v>
      </c>
      <c r="AV94" s="55">
        <f t="shared" si="53"/>
        <v>-999</v>
      </c>
      <c r="AW94" s="149">
        <f t="shared" si="54"/>
        <v>-999</v>
      </c>
      <c r="AX94" s="48">
        <v>-999</v>
      </c>
      <c r="AY94" s="55">
        <f t="shared" si="55"/>
        <v>-999</v>
      </c>
      <c r="AZ94" s="149">
        <f t="shared" si="56"/>
        <v>-999</v>
      </c>
      <c r="BA94" s="75">
        <v>3</v>
      </c>
      <c r="BB94" s="55">
        <f t="shared" si="57"/>
        <v>0.23462966206362487</v>
      </c>
      <c r="BC94" s="55">
        <f t="shared" si="58"/>
        <v>158.57999999999998</v>
      </c>
      <c r="BD94" s="136">
        <v>-999</v>
      </c>
      <c r="BE94" s="48">
        <v>-999</v>
      </c>
      <c r="BF94" s="48">
        <v>-999</v>
      </c>
      <c r="BG94" s="48">
        <v>-999</v>
      </c>
      <c r="BH94" s="48">
        <v>-999</v>
      </c>
      <c r="BI94" s="75">
        <v>-999</v>
      </c>
      <c r="BJ94" s="81">
        <f t="shared" si="59"/>
        <v>-999</v>
      </c>
      <c r="BK94" s="55">
        <f t="shared" si="60"/>
        <v>-999</v>
      </c>
      <c r="BL94" s="136">
        <v>-999</v>
      </c>
      <c r="BM94" s="48">
        <v>-999</v>
      </c>
      <c r="BN94" s="48">
        <v>-999</v>
      </c>
      <c r="BO94" s="48">
        <v>-999</v>
      </c>
      <c r="BP94" s="48">
        <v>-999</v>
      </c>
      <c r="BQ94" s="75">
        <v>-999</v>
      </c>
      <c r="BR94" s="81">
        <f t="shared" si="61"/>
        <v>-999</v>
      </c>
      <c r="BS94" s="55">
        <f t="shared" si="62"/>
        <v>-999</v>
      </c>
      <c r="BT94" s="73" t="s">
        <v>192</v>
      </c>
      <c r="BU94" s="29">
        <v>-999</v>
      </c>
      <c r="BV94" s="55">
        <f t="shared" si="63"/>
        <v>-999</v>
      </c>
      <c r="BW94" s="29">
        <v>-999</v>
      </c>
      <c r="BX94" s="55">
        <f t="shared" si="64"/>
        <v>-999</v>
      </c>
      <c r="BY94" s="29">
        <v>-999</v>
      </c>
      <c r="BZ94" s="55">
        <f t="shared" si="65"/>
        <v>-999</v>
      </c>
      <c r="CA94" s="29">
        <v>-999</v>
      </c>
      <c r="CB94" s="55">
        <f t="shared" si="66"/>
        <v>-999</v>
      </c>
      <c r="CC94" s="29">
        <v>-999</v>
      </c>
      <c r="CD94" s="55">
        <f t="shared" si="67"/>
        <v>-999</v>
      </c>
      <c r="CE94" s="55">
        <v>2.6</v>
      </c>
      <c r="CF94" s="129" t="s">
        <v>555</v>
      </c>
      <c r="CG94" s="10" t="b">
        <v>1</v>
      </c>
      <c r="CH94" s="10" t="b">
        <v>0</v>
      </c>
    </row>
    <row r="95" spans="1:86" s="7" customFormat="1" ht="21" customHeight="1">
      <c r="A95" s="10" t="s">
        <v>688</v>
      </c>
      <c r="B95" s="23" t="s">
        <v>451</v>
      </c>
      <c r="C95" s="7" t="s">
        <v>66</v>
      </c>
      <c r="D95" s="8" t="s">
        <v>67</v>
      </c>
      <c r="E95" s="7" t="s">
        <v>68</v>
      </c>
      <c r="F95">
        <v>1</v>
      </c>
      <c r="G95" s="7">
        <f>3155+2097</f>
        <v>5252</v>
      </c>
      <c r="H95" s="7" t="s">
        <v>29</v>
      </c>
      <c r="I95" s="7" t="s">
        <v>389</v>
      </c>
      <c r="J95" t="s">
        <v>522</v>
      </c>
      <c r="K95"/>
      <c r="L95" s="44">
        <v>39.927646610814925</v>
      </c>
      <c r="M95" s="9">
        <v>38.9</v>
      </c>
      <c r="N95" s="9">
        <v>-999</v>
      </c>
      <c r="O95" s="9">
        <v>23.2</v>
      </c>
      <c r="P95" s="9">
        <v>126.9</v>
      </c>
      <c r="Q95" s="9">
        <v>80.3</v>
      </c>
      <c r="R95" s="9">
        <v>78.5</v>
      </c>
      <c r="S95" s="100">
        <v>6.5100000000000007</v>
      </c>
      <c r="T95" s="101" t="s">
        <v>63</v>
      </c>
      <c r="U95" s="102">
        <v>27.74</v>
      </c>
      <c r="V95" s="101" t="s">
        <v>24</v>
      </c>
      <c r="W95" s="102">
        <v>2.25</v>
      </c>
      <c r="X95" s="101" t="s">
        <v>65</v>
      </c>
      <c r="Y95" s="102">
        <v>23.599999999999998</v>
      </c>
      <c r="Z95" s="101" t="s">
        <v>69</v>
      </c>
      <c r="AA95" s="102">
        <v>19.900000000000002</v>
      </c>
      <c r="AB95" s="101" t="s">
        <v>25</v>
      </c>
      <c r="AC95" s="64">
        <v>21</v>
      </c>
      <c r="AD95" s="131">
        <f>AC95/28</f>
        <v>0.75</v>
      </c>
      <c r="AE95" s="144">
        <f t="shared" si="46"/>
        <v>0.25</v>
      </c>
      <c r="AF95" s="146">
        <f t="shared" si="47"/>
        <v>0.57999999999999996</v>
      </c>
      <c r="AG95" s="9" t="b">
        <v>0</v>
      </c>
      <c r="AH95" s="9" t="b">
        <v>1</v>
      </c>
      <c r="AI95" s="9" t="b">
        <v>0</v>
      </c>
      <c r="AJ95" s="9" t="b">
        <v>0</v>
      </c>
      <c r="AK95" s="71" t="s">
        <v>190</v>
      </c>
      <c r="AL95" s="45">
        <v>-999</v>
      </c>
      <c r="AM95" s="44">
        <f t="shared" si="48"/>
        <v>-999</v>
      </c>
      <c r="AN95" s="149">
        <f t="shared" si="68"/>
        <v>-999</v>
      </c>
      <c r="AO95" s="45">
        <v>-999</v>
      </c>
      <c r="AP95" s="44">
        <f t="shared" si="49"/>
        <v>-999</v>
      </c>
      <c r="AQ95" s="149">
        <f t="shared" si="50"/>
        <v>-999</v>
      </c>
      <c r="AR95" s="45">
        <v>3.8</v>
      </c>
      <c r="AS95" s="44">
        <f t="shared" si="51"/>
        <v>0.26382562497990902</v>
      </c>
      <c r="AT95" s="149">
        <f t="shared" si="52"/>
        <v>199.57599999999999</v>
      </c>
      <c r="AU95" s="45">
        <v>0.2</v>
      </c>
      <c r="AV95" s="44">
        <f t="shared" si="53"/>
        <v>6.1647846424459959E-2</v>
      </c>
      <c r="AW95" s="149">
        <f t="shared" si="54"/>
        <v>10.504</v>
      </c>
      <c r="AX95" s="45">
        <v>0.2</v>
      </c>
      <c r="AY95" s="44">
        <f t="shared" si="55"/>
        <v>6.1647846424459959E-2</v>
      </c>
      <c r="AZ95" s="149">
        <f t="shared" si="56"/>
        <v>10.504</v>
      </c>
      <c r="BA95" s="76">
        <v>4.2</v>
      </c>
      <c r="BB95" s="44">
        <f t="shared" si="57"/>
        <v>0.27678658733335798</v>
      </c>
      <c r="BC95" s="55">
        <f t="shared" si="58"/>
        <v>220.584</v>
      </c>
      <c r="BD95" s="137">
        <v>-999</v>
      </c>
      <c r="BE95" s="45">
        <v>-999</v>
      </c>
      <c r="BF95" s="45">
        <v>-999</v>
      </c>
      <c r="BG95" s="45">
        <v>-999</v>
      </c>
      <c r="BH95" s="45">
        <v>-999</v>
      </c>
      <c r="BI95" s="76">
        <v>2.7</v>
      </c>
      <c r="BJ95" s="81">
        <f t="shared" si="59"/>
        <v>141.80400000000003</v>
      </c>
      <c r="BK95" s="44">
        <f t="shared" si="60"/>
        <v>0.22365362595346522</v>
      </c>
      <c r="BL95" s="137">
        <v>-999</v>
      </c>
      <c r="BM95" s="45">
        <v>-999</v>
      </c>
      <c r="BN95" s="45">
        <v>-999</v>
      </c>
      <c r="BO95" s="45">
        <v>-999</v>
      </c>
      <c r="BP95" s="45">
        <v>-999</v>
      </c>
      <c r="BQ95" s="76">
        <v>6.3</v>
      </c>
      <c r="BR95" s="81">
        <f t="shared" si="61"/>
        <v>330.87599999999998</v>
      </c>
      <c r="BS95" s="44">
        <f t="shared" si="62"/>
        <v>0.33525688960242844</v>
      </c>
      <c r="BT95" s="71">
        <v>-999</v>
      </c>
      <c r="BU95" s="48">
        <v>-999</v>
      </c>
      <c r="BV95" s="44">
        <f t="shared" si="63"/>
        <v>-999</v>
      </c>
      <c r="BW95" s="48">
        <v>-999</v>
      </c>
      <c r="BX95" s="44">
        <f t="shared" si="64"/>
        <v>-999</v>
      </c>
      <c r="BY95" s="48">
        <v>-999</v>
      </c>
      <c r="BZ95" s="44">
        <f t="shared" si="65"/>
        <v>-999</v>
      </c>
      <c r="CA95" s="48">
        <v>-999</v>
      </c>
      <c r="CB95" s="44">
        <f t="shared" si="66"/>
        <v>-999</v>
      </c>
      <c r="CC95" s="48">
        <v>-999</v>
      </c>
      <c r="CD95" s="44">
        <f t="shared" si="67"/>
        <v>-999</v>
      </c>
      <c r="CE95" s="55">
        <v>-999</v>
      </c>
      <c r="CF95" s="157" t="s">
        <v>555</v>
      </c>
      <c r="CG95" s="10" t="b">
        <v>0</v>
      </c>
      <c r="CH95" s="7" t="b">
        <v>0</v>
      </c>
    </row>
    <row r="96" spans="1:86" s="7" customFormat="1" ht="21" customHeight="1">
      <c r="A96" s="7" t="s">
        <v>648</v>
      </c>
      <c r="B96" s="23" t="s">
        <v>510</v>
      </c>
      <c r="C96" s="19" t="s">
        <v>579</v>
      </c>
      <c r="D96" s="11" t="s">
        <v>342</v>
      </c>
      <c r="E96" s="19" t="s">
        <v>341</v>
      </c>
      <c r="F96">
        <v>4</v>
      </c>
      <c r="G96" s="19">
        <v>8705</v>
      </c>
      <c r="H96" s="19" t="s">
        <v>29</v>
      </c>
      <c r="I96" s="19" t="s">
        <v>340</v>
      </c>
      <c r="J96" t="s">
        <v>527</v>
      </c>
      <c r="K96"/>
      <c r="L96" s="47">
        <v>60.5</v>
      </c>
      <c r="M96" s="37">
        <v>74.3</v>
      </c>
      <c r="N96" s="37">
        <v>-999</v>
      </c>
      <c r="O96" s="37">
        <v>-999</v>
      </c>
      <c r="P96" s="37">
        <v>-999</v>
      </c>
      <c r="Q96" s="37">
        <v>-999</v>
      </c>
      <c r="R96" s="37">
        <v>76.400000000000006</v>
      </c>
      <c r="S96" s="111">
        <v>9.6999999999999993</v>
      </c>
      <c r="T96" s="112" t="s">
        <v>343</v>
      </c>
      <c r="U96" s="113">
        <v>77.3</v>
      </c>
      <c r="V96" s="112" t="s">
        <v>284</v>
      </c>
      <c r="W96" s="113">
        <v>-999</v>
      </c>
      <c r="X96" s="112">
        <v>-999</v>
      </c>
      <c r="Y96" s="113">
        <v>13.2</v>
      </c>
      <c r="Z96" s="112" t="s">
        <v>120</v>
      </c>
      <c r="AA96" s="113">
        <v>5.6</v>
      </c>
      <c r="AB96" s="112" t="s">
        <v>25</v>
      </c>
      <c r="AC96" s="64">
        <v>24</v>
      </c>
      <c r="AD96" s="131">
        <v>0.8571428571428571</v>
      </c>
      <c r="AE96" s="144">
        <f t="shared" si="46"/>
        <v>0.5</v>
      </c>
      <c r="AF96" s="146">
        <f t="shared" si="47"/>
        <v>0.73571428571428577</v>
      </c>
      <c r="AG96" s="29" t="b">
        <v>0</v>
      </c>
      <c r="AH96" s="29" t="b">
        <v>1</v>
      </c>
      <c r="AI96" s="29" t="b">
        <v>0</v>
      </c>
      <c r="AJ96" s="29" t="b">
        <v>1</v>
      </c>
      <c r="AK96" s="73" t="s">
        <v>190</v>
      </c>
      <c r="AL96" s="48">
        <v>-999</v>
      </c>
      <c r="AM96" s="55">
        <f t="shared" si="48"/>
        <v>-999</v>
      </c>
      <c r="AN96" s="149">
        <f t="shared" si="68"/>
        <v>-999</v>
      </c>
      <c r="AO96" s="48">
        <v>-999</v>
      </c>
      <c r="AP96" s="55">
        <f t="shared" si="49"/>
        <v>-999</v>
      </c>
      <c r="AQ96" s="149">
        <f t="shared" si="50"/>
        <v>-999</v>
      </c>
      <c r="AR96" s="48">
        <v>13.4</v>
      </c>
      <c r="AS96" s="55">
        <f t="shared" si="51"/>
        <v>0.36511271500489051</v>
      </c>
      <c r="AT96" s="149">
        <f t="shared" si="52"/>
        <v>1166.47</v>
      </c>
      <c r="AU96" s="48">
        <v>0.3</v>
      </c>
      <c r="AV96" s="55">
        <f t="shared" si="53"/>
        <v>5.8617031201921625E-2</v>
      </c>
      <c r="AW96" s="149">
        <f t="shared" si="54"/>
        <v>26.115000000000002</v>
      </c>
      <c r="AX96" s="48">
        <v>0</v>
      </c>
      <c r="AY96" s="55">
        <f t="shared" si="55"/>
        <v>0</v>
      </c>
      <c r="AZ96" s="149">
        <f t="shared" si="56"/>
        <v>0</v>
      </c>
      <c r="BA96" s="75">
        <v>13.7</v>
      </c>
      <c r="BB96" s="55">
        <f t="shared" si="57"/>
        <v>0.36853716757313093</v>
      </c>
      <c r="BC96" s="55">
        <f t="shared" si="58"/>
        <v>1192.5849999999998</v>
      </c>
      <c r="BD96" s="136">
        <v>-999</v>
      </c>
      <c r="BE96" s="48">
        <v>-999</v>
      </c>
      <c r="BF96" s="48">
        <v>-999</v>
      </c>
      <c r="BG96" s="48">
        <v>-999</v>
      </c>
      <c r="BH96" s="48">
        <v>-999</v>
      </c>
      <c r="BI96" s="75">
        <v>-999</v>
      </c>
      <c r="BJ96" s="81">
        <f t="shared" si="59"/>
        <v>-999</v>
      </c>
      <c r="BK96" s="55">
        <f t="shared" si="60"/>
        <v>-999</v>
      </c>
      <c r="BL96" s="136">
        <v>-999</v>
      </c>
      <c r="BM96" s="48">
        <v>-999</v>
      </c>
      <c r="BN96" s="48">
        <v>-999</v>
      </c>
      <c r="BO96" s="48">
        <v>-999</v>
      </c>
      <c r="BP96" s="48">
        <v>-999</v>
      </c>
      <c r="BQ96" s="75">
        <v>-999</v>
      </c>
      <c r="BR96" s="81">
        <f t="shared" si="61"/>
        <v>-999</v>
      </c>
      <c r="BS96" s="55">
        <f t="shared" si="62"/>
        <v>-999</v>
      </c>
      <c r="BT96" s="73" t="s">
        <v>192</v>
      </c>
      <c r="BU96" s="48">
        <v>-999</v>
      </c>
      <c r="BV96" s="55">
        <f t="shared" si="63"/>
        <v>-999</v>
      </c>
      <c r="BW96" s="48">
        <v>-999</v>
      </c>
      <c r="BX96" s="55">
        <f t="shared" si="64"/>
        <v>-999</v>
      </c>
      <c r="BY96" s="48">
        <v>12.6</v>
      </c>
      <c r="BZ96" s="55">
        <f t="shared" si="65"/>
        <v>0.35567767065026146</v>
      </c>
      <c r="CA96" s="48">
        <v>0.3</v>
      </c>
      <c r="CB96" s="55">
        <f t="shared" si="66"/>
        <v>5.8617031201921625E-2</v>
      </c>
      <c r="CC96" s="48">
        <v>0</v>
      </c>
      <c r="CD96" s="55">
        <f t="shared" si="67"/>
        <v>0</v>
      </c>
      <c r="CE96" s="55">
        <v>12.9</v>
      </c>
      <c r="CF96" s="129" t="s">
        <v>555</v>
      </c>
      <c r="CG96" s="10" t="b">
        <v>1</v>
      </c>
      <c r="CH96" s="10" t="b">
        <v>0</v>
      </c>
    </row>
    <row r="97" spans="1:86" s="7" customFormat="1" ht="21" customHeight="1">
      <c r="A97" s="10" t="s">
        <v>649</v>
      </c>
      <c r="B97" s="23" t="s">
        <v>511</v>
      </c>
      <c r="C97" s="19" t="s">
        <v>344</v>
      </c>
      <c r="D97" s="11" t="s">
        <v>345</v>
      </c>
      <c r="E97" s="19" t="s">
        <v>207</v>
      </c>
      <c r="F97">
        <v>4</v>
      </c>
      <c r="G97" s="19">
        <v>38262</v>
      </c>
      <c r="H97" s="19" t="s">
        <v>29</v>
      </c>
      <c r="I97" s="19" t="s">
        <v>233</v>
      </c>
      <c r="J97" t="s">
        <v>531</v>
      </c>
      <c r="K97"/>
      <c r="L97" s="47">
        <v>56.5</v>
      </c>
      <c r="M97" s="37">
        <v>58.1</v>
      </c>
      <c r="N97" s="37">
        <v>-999</v>
      </c>
      <c r="O97" s="37">
        <v>27.1</v>
      </c>
      <c r="P97" s="37">
        <v>134.30000000000001</v>
      </c>
      <c r="Q97" s="37">
        <v>78.5</v>
      </c>
      <c r="R97" s="37">
        <v>94.6</v>
      </c>
      <c r="S97" s="111">
        <v>10.6</v>
      </c>
      <c r="T97" s="112" t="s">
        <v>346</v>
      </c>
      <c r="U97" s="113">
        <v>55.8</v>
      </c>
      <c r="V97" s="112" t="s">
        <v>284</v>
      </c>
      <c r="W97" s="113">
        <v>12.5</v>
      </c>
      <c r="X97" s="112">
        <v>-999</v>
      </c>
      <c r="Y97" s="113">
        <v>-999</v>
      </c>
      <c r="Z97" s="112">
        <v>-999</v>
      </c>
      <c r="AA97" s="113">
        <v>-999</v>
      </c>
      <c r="AB97" s="112">
        <v>-999</v>
      </c>
      <c r="AC97" s="64">
        <v>19</v>
      </c>
      <c r="AD97" s="131">
        <v>0.6785714285714286</v>
      </c>
      <c r="AE97" s="144">
        <f t="shared" si="46"/>
        <v>0.5</v>
      </c>
      <c r="AF97" s="146">
        <f t="shared" si="47"/>
        <v>0.61785714285714288</v>
      </c>
      <c r="AG97" s="29" t="b">
        <v>0</v>
      </c>
      <c r="AH97" s="29" t="b">
        <v>1</v>
      </c>
      <c r="AI97" s="29" t="b">
        <v>1</v>
      </c>
      <c r="AJ97" s="29" t="b">
        <v>0</v>
      </c>
      <c r="AK97" s="73" t="s">
        <v>190</v>
      </c>
      <c r="AL97" s="48">
        <v>-999</v>
      </c>
      <c r="AM97" s="55">
        <f t="shared" si="48"/>
        <v>-999</v>
      </c>
      <c r="AN97" s="149">
        <f t="shared" si="68"/>
        <v>-999</v>
      </c>
      <c r="AO97" s="48">
        <v>-999</v>
      </c>
      <c r="AP97" s="55">
        <f t="shared" si="49"/>
        <v>-999</v>
      </c>
      <c r="AQ97" s="149">
        <f t="shared" si="50"/>
        <v>-999</v>
      </c>
      <c r="AR97" s="48">
        <v>-999</v>
      </c>
      <c r="AS97" s="55">
        <f t="shared" si="51"/>
        <v>-999</v>
      </c>
      <c r="AT97" s="149">
        <f t="shared" si="52"/>
        <v>-999</v>
      </c>
      <c r="AU97" s="48">
        <v>-999</v>
      </c>
      <c r="AV97" s="55">
        <f t="shared" si="53"/>
        <v>-999</v>
      </c>
      <c r="AW97" s="149">
        <f t="shared" si="54"/>
        <v>-999</v>
      </c>
      <c r="AX97" s="48">
        <v>-999</v>
      </c>
      <c r="AY97" s="55">
        <f t="shared" si="55"/>
        <v>-999</v>
      </c>
      <c r="AZ97" s="149">
        <f t="shared" si="56"/>
        <v>-999</v>
      </c>
      <c r="BA97" s="75">
        <v>8.5</v>
      </c>
      <c r="BB97" s="55">
        <f t="shared" si="57"/>
        <v>0.14257263499360567</v>
      </c>
      <c r="BC97" s="55">
        <f t="shared" si="58"/>
        <v>3252.2700000000004</v>
      </c>
      <c r="BD97" s="136">
        <v>-999</v>
      </c>
      <c r="BE97" s="48">
        <v>-999</v>
      </c>
      <c r="BF97" s="48">
        <v>-999</v>
      </c>
      <c r="BG97" s="48">
        <v>-999</v>
      </c>
      <c r="BH97" s="48">
        <v>-999</v>
      </c>
      <c r="BI97" s="75">
        <v>5.8</v>
      </c>
      <c r="BJ97" s="81">
        <f t="shared" si="59"/>
        <v>2219.1959999999999</v>
      </c>
      <c r="BK97" s="55">
        <f t="shared" si="60"/>
        <v>0.11949661812690207</v>
      </c>
      <c r="BL97" s="136">
        <v>-999</v>
      </c>
      <c r="BM97" s="48">
        <v>-999</v>
      </c>
      <c r="BN97" s="48">
        <v>-999</v>
      </c>
      <c r="BO97" s="48">
        <v>-999</v>
      </c>
      <c r="BP97" s="48">
        <v>-999</v>
      </c>
      <c r="BQ97" s="75">
        <v>10.6</v>
      </c>
      <c r="BR97" s="81">
        <f t="shared" si="61"/>
        <v>4055.7719999999999</v>
      </c>
      <c r="BS97" s="55">
        <f t="shared" si="62"/>
        <v>0.15737576649597121</v>
      </c>
      <c r="BT97" s="136">
        <v>-999</v>
      </c>
      <c r="BU97" s="48">
        <v>-999</v>
      </c>
      <c r="BV97" s="55">
        <f t="shared" si="63"/>
        <v>-999</v>
      </c>
      <c r="BW97" s="48">
        <v>-999</v>
      </c>
      <c r="BX97" s="55">
        <f t="shared" si="64"/>
        <v>-999</v>
      </c>
      <c r="BY97" s="48">
        <v>-999</v>
      </c>
      <c r="BZ97" s="55">
        <f t="shared" si="65"/>
        <v>-999</v>
      </c>
      <c r="CA97" s="48">
        <v>-999</v>
      </c>
      <c r="CB97" s="55">
        <f t="shared" si="66"/>
        <v>-999</v>
      </c>
      <c r="CC97" s="48">
        <v>-999</v>
      </c>
      <c r="CD97" s="55">
        <f t="shared" si="67"/>
        <v>-999</v>
      </c>
      <c r="CE97" s="55">
        <v>-999</v>
      </c>
      <c r="CF97" s="129" t="s">
        <v>555</v>
      </c>
      <c r="CG97" s="7" t="b">
        <v>1</v>
      </c>
      <c r="CH97" s="10" t="b">
        <v>0</v>
      </c>
    </row>
    <row r="98" spans="1:86" s="7" customFormat="1" ht="21" customHeight="1">
      <c r="A98" s="7" t="s">
        <v>689</v>
      </c>
      <c r="B98" s="23" t="s">
        <v>452</v>
      </c>
      <c r="C98" s="7" t="s">
        <v>128</v>
      </c>
      <c r="D98" s="8" t="s">
        <v>129</v>
      </c>
      <c r="E98" s="7" t="s">
        <v>127</v>
      </c>
      <c r="F98">
        <v>4</v>
      </c>
      <c r="G98" s="7">
        <v>10748</v>
      </c>
      <c r="H98" s="7" t="s">
        <v>29</v>
      </c>
      <c r="I98" s="25" t="s">
        <v>389</v>
      </c>
      <c r="J98" t="s">
        <v>522</v>
      </c>
      <c r="K98"/>
      <c r="L98" s="44">
        <v>56.000000000000007</v>
      </c>
      <c r="M98" s="9">
        <v>40.5</v>
      </c>
      <c r="N98" s="9">
        <v>-999</v>
      </c>
      <c r="O98" s="9">
        <v>-999</v>
      </c>
      <c r="P98" s="9">
        <v>-999</v>
      </c>
      <c r="Q98" s="9">
        <v>-999</v>
      </c>
      <c r="R98" s="9">
        <v>79.599999999999994</v>
      </c>
      <c r="S98" s="100">
        <v>12.7</v>
      </c>
      <c r="T98" s="101" t="s">
        <v>130</v>
      </c>
      <c r="U98" s="102">
        <v>32.700000000000003</v>
      </c>
      <c r="V98" s="101" t="s">
        <v>131</v>
      </c>
      <c r="W98" s="102">
        <v>12.2</v>
      </c>
      <c r="X98" s="101" t="s">
        <v>39</v>
      </c>
      <c r="Y98" s="102">
        <v>20.100000000000001</v>
      </c>
      <c r="Z98" s="101">
        <v>-999</v>
      </c>
      <c r="AA98" s="102">
        <v>-999</v>
      </c>
      <c r="AB98" s="101">
        <v>-999</v>
      </c>
      <c r="AC98" s="64">
        <v>22</v>
      </c>
      <c r="AD98" s="131">
        <f>AC98/28</f>
        <v>0.7857142857142857</v>
      </c>
      <c r="AE98" s="144">
        <f t="shared" ref="AE98:AE113" si="69">IF(COUNTIF(AG98:AJ98,TRUE)&lt;&gt;0,COUNTIF(AG98:AJ98,TRUE)/4,0)</f>
        <v>0</v>
      </c>
      <c r="AF98" s="146">
        <f t="shared" ref="AF98:AF113" si="70">(AD98*0.66)+(AE98*0.34)</f>
        <v>0.51857142857142857</v>
      </c>
      <c r="AG98" s="9" t="b">
        <v>0</v>
      </c>
      <c r="AH98" s="9" t="b">
        <v>0</v>
      </c>
      <c r="AI98" s="9" t="b">
        <v>0</v>
      </c>
      <c r="AJ98" s="9" t="b">
        <v>0</v>
      </c>
      <c r="AK98" s="71" t="s">
        <v>190</v>
      </c>
      <c r="AL98" s="45">
        <v>5.4</v>
      </c>
      <c r="AM98" s="44">
        <f t="shared" ref="AM98:AM113" si="71">IF(AL98&lt;&gt;-999,SQRT(AL98*(100-AL98)/$G98),-999)</f>
        <v>0.21801110654130182</v>
      </c>
      <c r="AN98" s="149">
        <f t="shared" si="68"/>
        <v>580.39200000000005</v>
      </c>
      <c r="AO98" s="45">
        <v>5.2</v>
      </c>
      <c r="AP98" s="44">
        <f t="shared" ref="AP98:AP113" si="72">IF(AO98&lt;&gt;-999,SQRT(AO98*(100-AO98)/$G98),-999)</f>
        <v>0.214161801591427</v>
      </c>
      <c r="AQ98" s="149">
        <f t="shared" ref="AQ98:AQ113" si="73">IF(AO98&lt;&gt;-999,(AO98/100)*$G98,-999)</f>
        <v>558.89600000000007</v>
      </c>
      <c r="AR98" s="45">
        <v>4.7</v>
      </c>
      <c r="AS98" s="44">
        <f t="shared" ref="AS98:AS113" si="74">IF(AR98&lt;&gt;-999,SQRT(AR98*(100-AR98)/$G98),-999)</f>
        <v>0.20414161696406405</v>
      </c>
      <c r="AT98" s="149">
        <f t="shared" ref="AT98:AT113" si="75">IF(AR98&lt;&gt;-999,(AR98/100)*$G98,-999)</f>
        <v>505.15600000000001</v>
      </c>
      <c r="AU98" s="45">
        <v>0.3</v>
      </c>
      <c r="AV98" s="44">
        <f t="shared" ref="AV98:AV113" si="76">IF(AU98&lt;&gt;-999,SQRT(AU98*(100-AU98)/$G98),-999)</f>
        <v>5.2752661730830076E-2</v>
      </c>
      <c r="AW98" s="149">
        <f t="shared" ref="AW98:AW113" si="77">IF(AU98&lt;&gt;-999,(AU98/100)*$G98,-999)</f>
        <v>32.244</v>
      </c>
      <c r="AX98" s="45">
        <v>0.2</v>
      </c>
      <c r="AY98" s="44">
        <f t="shared" ref="AY98:AY113" si="78">IF(AX98&lt;&gt;-999,SQRT(AX98*(100-AX98)/$G98),-999)</f>
        <v>4.309396351120795E-2</v>
      </c>
      <c r="AZ98" s="149">
        <f t="shared" ref="AZ98:AZ113" si="79">IF(AX98&lt;&gt;-999,(AX98/100)*$G98,-999)</f>
        <v>21.496000000000002</v>
      </c>
      <c r="BA98" s="76">
        <v>15.7</v>
      </c>
      <c r="BB98" s="44">
        <f t="shared" ref="BB98:BB113" si="80">IF(BA98&lt;&gt;-999,SQRT(BA98*(100-BA98)/$G98),-999)</f>
        <v>0.350913264343091</v>
      </c>
      <c r="BC98" s="55">
        <f t="shared" ref="BC98:BC113" si="81">IF(G98&lt;&gt;-999,(BA98/100)*G98,-999)</f>
        <v>1687.4359999999999</v>
      </c>
      <c r="BD98" s="137">
        <v>4.9000000000000004</v>
      </c>
      <c r="BE98" s="45">
        <v>4.3</v>
      </c>
      <c r="BF98" s="45">
        <v>3.2</v>
      </c>
      <c r="BG98" s="45">
        <v>0.2</v>
      </c>
      <c r="BH98" s="45">
        <v>0.2</v>
      </c>
      <c r="BI98" s="76">
        <v>12.8</v>
      </c>
      <c r="BJ98" s="81">
        <f t="shared" ref="BJ98:BJ113" si="82">IF(BI98&lt;&gt;-999,(BI98/100)*$G98,-999)</f>
        <v>1375.7440000000001</v>
      </c>
      <c r="BK98" s="44">
        <f t="shared" ref="BK98:BK113" si="83">IF(BI98&lt;&gt;-999,SQRT(BI98*(100-BI98)/$G98),-999)</f>
        <v>0.32225480259695033</v>
      </c>
      <c r="BL98" s="137">
        <v>6</v>
      </c>
      <c r="BM98" s="45">
        <v>6</v>
      </c>
      <c r="BN98" s="45">
        <v>6.1</v>
      </c>
      <c r="BO98" s="45">
        <v>0.2</v>
      </c>
      <c r="BP98" s="45">
        <v>0.1</v>
      </c>
      <c r="BQ98" s="76">
        <v>18.399999999999999</v>
      </c>
      <c r="BR98" s="81">
        <f t="shared" ref="BR98:BR113" si="84">IF(BQ98&lt;&gt;-999,(BQ98/100)*$G98,-999)</f>
        <v>1977.6320000000001</v>
      </c>
      <c r="BS98" s="44">
        <f t="shared" ref="BS98:BS113" si="85">IF(BQ98&lt;&gt;-999,SQRT(BQ98*(100-BQ98)/$G98),-999)</f>
        <v>0.37375771155194615</v>
      </c>
      <c r="BT98" s="71">
        <v>-999</v>
      </c>
      <c r="BU98" s="48">
        <v>-999</v>
      </c>
      <c r="BV98" s="44">
        <f t="shared" ref="BV98:BV113" si="86">IF(BU98&lt;&gt;-999,SQRT(BU98*(100-BU98)/$G98),-999)</f>
        <v>-999</v>
      </c>
      <c r="BW98" s="48">
        <v>-999</v>
      </c>
      <c r="BX98" s="44">
        <f t="shared" ref="BX98:BX113" si="87">IF(BW98&lt;&gt;-999,SQRT(BW98*(100-BW98)/$G98),-999)</f>
        <v>-999</v>
      </c>
      <c r="BY98" s="48">
        <v>-999</v>
      </c>
      <c r="BZ98" s="44">
        <f t="shared" ref="BZ98:BZ113" si="88">IF(BY98&lt;&gt;-999,SQRT(BY98*(100-BY98)/$G98),-999)</f>
        <v>-999</v>
      </c>
      <c r="CA98" s="48">
        <v>-999</v>
      </c>
      <c r="CB98" s="44">
        <f t="shared" ref="CB98:CB113" si="89">IF(CA98&lt;&gt;-999,SQRT(CA98*(100-CA98)/$G98),-999)</f>
        <v>-999</v>
      </c>
      <c r="CC98" s="48">
        <v>-999</v>
      </c>
      <c r="CD98" s="44">
        <f t="shared" ref="CD98:CD113" si="90">IF(CC98&lt;&gt;-999,SQRT(CC98*(100-CC98)/$G98),-999)</f>
        <v>-999</v>
      </c>
      <c r="CE98" s="55">
        <v>-999</v>
      </c>
      <c r="CF98" s="157" t="s">
        <v>556</v>
      </c>
      <c r="CG98" s="7" t="b">
        <v>0</v>
      </c>
      <c r="CH98" s="7" t="b">
        <v>0</v>
      </c>
    </row>
    <row r="99" spans="1:86" s="7" customFormat="1" ht="21" customHeight="1">
      <c r="A99" s="10" t="s">
        <v>650</v>
      </c>
      <c r="B99" s="23" t="s">
        <v>512</v>
      </c>
      <c r="C99" s="7" t="s">
        <v>580</v>
      </c>
      <c r="D99" s="8" t="s">
        <v>27</v>
      </c>
      <c r="E99" s="7" t="s">
        <v>62</v>
      </c>
      <c r="F99">
        <v>7</v>
      </c>
      <c r="G99" s="7">
        <v>4460</v>
      </c>
      <c r="H99" s="7" t="s">
        <v>29</v>
      </c>
      <c r="I99" s="7" t="s">
        <v>382</v>
      </c>
      <c r="J99" t="s">
        <v>522</v>
      </c>
      <c r="K99"/>
      <c r="L99" s="44">
        <v>-999</v>
      </c>
      <c r="M99" s="9">
        <v>-999</v>
      </c>
      <c r="N99" s="9">
        <v>-999</v>
      </c>
      <c r="O99" s="9">
        <v>-999</v>
      </c>
      <c r="P99" s="9">
        <v>-999</v>
      </c>
      <c r="Q99" s="9">
        <v>-999</v>
      </c>
      <c r="R99" s="9">
        <v>-999</v>
      </c>
      <c r="S99" s="100">
        <v>7.7</v>
      </c>
      <c r="T99" s="122" t="s">
        <v>262</v>
      </c>
      <c r="U99" s="121">
        <v>39.5</v>
      </c>
      <c r="V99" s="120" t="s">
        <v>284</v>
      </c>
      <c r="W99" s="121">
        <v>11.5</v>
      </c>
      <c r="X99" s="122">
        <v>-999</v>
      </c>
      <c r="Y99" s="121">
        <v>12.5</v>
      </c>
      <c r="Z99" s="122">
        <v>-999</v>
      </c>
      <c r="AA99" s="121">
        <v>-999</v>
      </c>
      <c r="AB99" s="122">
        <v>-999</v>
      </c>
      <c r="AC99" s="64">
        <v>15</v>
      </c>
      <c r="AD99" s="131">
        <v>0.5357142857142857</v>
      </c>
      <c r="AE99" s="144">
        <f t="shared" si="69"/>
        <v>0</v>
      </c>
      <c r="AF99" s="146">
        <f t="shared" si="70"/>
        <v>0.35357142857142859</v>
      </c>
      <c r="AG99" s="34" t="b">
        <v>0</v>
      </c>
      <c r="AH99" s="34" t="b">
        <v>0</v>
      </c>
      <c r="AI99" s="34" t="b">
        <v>0</v>
      </c>
      <c r="AJ99" s="34" t="b">
        <v>0</v>
      </c>
      <c r="AK99" s="72" t="s">
        <v>190</v>
      </c>
      <c r="AL99" s="56">
        <v>-999</v>
      </c>
      <c r="AM99" s="55">
        <f t="shared" si="71"/>
        <v>-999</v>
      </c>
      <c r="AN99" s="149">
        <f t="shared" ref="AN99:AN113" si="91">IF(AL99&lt;&gt;-999,(AL99/100)*G99,-999)</f>
        <v>-999</v>
      </c>
      <c r="AO99" s="56">
        <v>-999</v>
      </c>
      <c r="AP99" s="55">
        <f t="shared" si="72"/>
        <v>-999</v>
      </c>
      <c r="AQ99" s="149">
        <f t="shared" si="73"/>
        <v>-999</v>
      </c>
      <c r="AR99" s="56">
        <v>-999</v>
      </c>
      <c r="AS99" s="55">
        <f t="shared" si="74"/>
        <v>-999</v>
      </c>
      <c r="AT99" s="149">
        <f t="shared" si="75"/>
        <v>-999</v>
      </c>
      <c r="AU99" s="56">
        <v>-999</v>
      </c>
      <c r="AV99" s="55">
        <f t="shared" si="76"/>
        <v>-999</v>
      </c>
      <c r="AW99" s="149">
        <f t="shared" si="77"/>
        <v>-999</v>
      </c>
      <c r="AX99" s="56">
        <v>-999</v>
      </c>
      <c r="AY99" s="55">
        <f t="shared" si="78"/>
        <v>-999</v>
      </c>
      <c r="AZ99" s="149">
        <f t="shared" si="79"/>
        <v>-999</v>
      </c>
      <c r="BA99" s="77">
        <v>12.4</v>
      </c>
      <c r="BB99" s="55">
        <f t="shared" si="80"/>
        <v>0.4935094421657264</v>
      </c>
      <c r="BC99" s="55">
        <f t="shared" si="81"/>
        <v>553.04</v>
      </c>
      <c r="BD99" s="136">
        <v>-999</v>
      </c>
      <c r="BE99" s="55">
        <v>-999</v>
      </c>
      <c r="BF99" s="55">
        <v>-999</v>
      </c>
      <c r="BG99" s="55">
        <v>-999</v>
      </c>
      <c r="BH99" s="55">
        <v>-999</v>
      </c>
      <c r="BI99" s="75">
        <v>-999</v>
      </c>
      <c r="BJ99" s="81">
        <f t="shared" si="82"/>
        <v>-999</v>
      </c>
      <c r="BK99" s="55">
        <f t="shared" si="83"/>
        <v>-999</v>
      </c>
      <c r="BL99" s="136">
        <v>-999</v>
      </c>
      <c r="BM99" s="55">
        <v>-999</v>
      </c>
      <c r="BN99" s="55">
        <v>-999</v>
      </c>
      <c r="BO99" s="55">
        <v>-999</v>
      </c>
      <c r="BP99" s="55">
        <v>-999</v>
      </c>
      <c r="BQ99" s="75">
        <v>-999</v>
      </c>
      <c r="BR99" s="81">
        <f t="shared" si="84"/>
        <v>-999</v>
      </c>
      <c r="BS99" s="55">
        <f t="shared" si="85"/>
        <v>-999</v>
      </c>
      <c r="BT99" s="136">
        <v>-999</v>
      </c>
      <c r="BU99" s="55">
        <v>-999</v>
      </c>
      <c r="BV99" s="55">
        <f t="shared" si="86"/>
        <v>-999</v>
      </c>
      <c r="BW99" s="55">
        <v>-999</v>
      </c>
      <c r="BX99" s="55">
        <f t="shared" si="87"/>
        <v>-999</v>
      </c>
      <c r="BY99" s="55">
        <v>-999</v>
      </c>
      <c r="BZ99" s="55">
        <f t="shared" si="88"/>
        <v>-999</v>
      </c>
      <c r="CA99" s="55">
        <v>-999</v>
      </c>
      <c r="CB99" s="55">
        <f t="shared" si="89"/>
        <v>-999</v>
      </c>
      <c r="CC99" s="55">
        <v>-999</v>
      </c>
      <c r="CD99" s="55">
        <f t="shared" si="90"/>
        <v>-999</v>
      </c>
      <c r="CE99" s="55">
        <v>-999</v>
      </c>
      <c r="CF99" s="129" t="s">
        <v>556</v>
      </c>
      <c r="CG99" s="7" t="b">
        <v>0</v>
      </c>
      <c r="CH99" s="7" t="b">
        <v>0</v>
      </c>
    </row>
    <row r="100" spans="1:86" s="7" customFormat="1" ht="21" customHeight="1">
      <c r="A100" s="10" t="s">
        <v>651</v>
      </c>
      <c r="B100" s="23" t="s">
        <v>513</v>
      </c>
      <c r="C100" s="19" t="s">
        <v>347</v>
      </c>
      <c r="D100" s="11" t="s">
        <v>348</v>
      </c>
      <c r="E100" s="19" t="s">
        <v>83</v>
      </c>
      <c r="F100">
        <v>6</v>
      </c>
      <c r="G100" s="19">
        <v>6980</v>
      </c>
      <c r="H100" s="19" t="s">
        <v>29</v>
      </c>
      <c r="I100" s="19" t="s">
        <v>349</v>
      </c>
      <c r="J100" t="s">
        <v>527</v>
      </c>
      <c r="K100"/>
      <c r="L100" s="47">
        <v>45.1</v>
      </c>
      <c r="M100" s="37">
        <v>49.6</v>
      </c>
      <c r="N100" s="37">
        <v>62.7</v>
      </c>
      <c r="O100" s="37">
        <v>24.2</v>
      </c>
      <c r="P100" s="37">
        <v>127</v>
      </c>
      <c r="Q100" s="37">
        <v>79.400000000000006</v>
      </c>
      <c r="R100" s="37">
        <v>70.7</v>
      </c>
      <c r="S100" s="111">
        <v>14.3</v>
      </c>
      <c r="T100" s="112" t="s">
        <v>351</v>
      </c>
      <c r="U100" s="113">
        <v>45.2</v>
      </c>
      <c r="V100" s="112" t="s">
        <v>350</v>
      </c>
      <c r="W100" s="113">
        <v>-999</v>
      </c>
      <c r="X100" s="112">
        <v>-999</v>
      </c>
      <c r="Y100" s="113">
        <v>12</v>
      </c>
      <c r="Z100" s="112">
        <v>-999</v>
      </c>
      <c r="AA100" s="113">
        <v>-999</v>
      </c>
      <c r="AB100" s="112">
        <v>-999</v>
      </c>
      <c r="AC100" s="64">
        <v>21</v>
      </c>
      <c r="AD100" s="131">
        <v>0.75</v>
      </c>
      <c r="AE100" s="144">
        <f t="shared" si="69"/>
        <v>0</v>
      </c>
      <c r="AF100" s="146">
        <f t="shared" si="70"/>
        <v>0.495</v>
      </c>
      <c r="AG100" s="29" t="b">
        <v>0</v>
      </c>
      <c r="AH100" s="29" t="b">
        <v>0</v>
      </c>
      <c r="AI100" s="29" t="b">
        <v>0</v>
      </c>
      <c r="AJ100" s="29" t="b">
        <v>0</v>
      </c>
      <c r="AK100" s="73" t="s">
        <v>190</v>
      </c>
      <c r="AL100" s="48">
        <v>-999</v>
      </c>
      <c r="AM100" s="55">
        <f t="shared" si="71"/>
        <v>-999</v>
      </c>
      <c r="AN100" s="149">
        <f t="shared" si="91"/>
        <v>-999</v>
      </c>
      <c r="AO100" s="48">
        <v>-999</v>
      </c>
      <c r="AP100" s="55">
        <f t="shared" si="72"/>
        <v>-999</v>
      </c>
      <c r="AQ100" s="149">
        <f t="shared" si="73"/>
        <v>-999</v>
      </c>
      <c r="AR100" s="48">
        <v>-999</v>
      </c>
      <c r="AS100" s="55">
        <f t="shared" si="74"/>
        <v>-999</v>
      </c>
      <c r="AT100" s="149">
        <f t="shared" si="75"/>
        <v>-999</v>
      </c>
      <c r="AU100" s="48">
        <v>-999</v>
      </c>
      <c r="AV100" s="55">
        <f t="shared" si="76"/>
        <v>-999</v>
      </c>
      <c r="AW100" s="149">
        <f t="shared" si="77"/>
        <v>-999</v>
      </c>
      <c r="AX100" s="48">
        <v>-999</v>
      </c>
      <c r="AY100" s="55">
        <f t="shared" si="78"/>
        <v>-999</v>
      </c>
      <c r="AZ100" s="149">
        <f t="shared" si="79"/>
        <v>-999</v>
      </c>
      <c r="BA100" s="75">
        <v>13.7</v>
      </c>
      <c r="BB100" s="55">
        <f t="shared" si="80"/>
        <v>0.41156455972238942</v>
      </c>
      <c r="BC100" s="55">
        <f t="shared" si="81"/>
        <v>956.25999999999988</v>
      </c>
      <c r="BD100" s="136">
        <v>-999</v>
      </c>
      <c r="BE100" s="48">
        <v>-999</v>
      </c>
      <c r="BF100" s="48">
        <v>-999</v>
      </c>
      <c r="BG100" s="48">
        <v>-999</v>
      </c>
      <c r="BH100" s="48">
        <v>-999</v>
      </c>
      <c r="BI100" s="75">
        <v>-999</v>
      </c>
      <c r="BJ100" s="81">
        <f t="shared" si="82"/>
        <v>-999</v>
      </c>
      <c r="BK100" s="55">
        <f t="shared" si="83"/>
        <v>-999</v>
      </c>
      <c r="BL100" s="136">
        <v>-999</v>
      </c>
      <c r="BM100" s="48">
        <v>-999</v>
      </c>
      <c r="BN100" s="48">
        <v>-999</v>
      </c>
      <c r="BO100" s="48">
        <v>-999</v>
      </c>
      <c r="BP100" s="48">
        <v>-999</v>
      </c>
      <c r="BQ100" s="75">
        <v>-999</v>
      </c>
      <c r="BR100" s="81">
        <f t="shared" si="84"/>
        <v>-999</v>
      </c>
      <c r="BS100" s="55">
        <f t="shared" si="85"/>
        <v>-999</v>
      </c>
      <c r="BT100" s="136">
        <v>-999</v>
      </c>
      <c r="BU100" s="48">
        <v>-999</v>
      </c>
      <c r="BV100" s="55">
        <f t="shared" si="86"/>
        <v>-999</v>
      </c>
      <c r="BW100" s="48">
        <v>-999</v>
      </c>
      <c r="BX100" s="55">
        <f t="shared" si="87"/>
        <v>-999</v>
      </c>
      <c r="BY100" s="48">
        <v>-999</v>
      </c>
      <c r="BZ100" s="55">
        <f t="shared" si="88"/>
        <v>-999</v>
      </c>
      <c r="CA100" s="48">
        <v>-999</v>
      </c>
      <c r="CB100" s="55">
        <f t="shared" si="89"/>
        <v>-999</v>
      </c>
      <c r="CC100" s="48">
        <v>-999</v>
      </c>
      <c r="CD100" s="55">
        <f t="shared" si="90"/>
        <v>-999</v>
      </c>
      <c r="CE100" s="48">
        <v>-999</v>
      </c>
      <c r="CF100" s="129" t="s">
        <v>555</v>
      </c>
      <c r="CG100" s="7" t="b">
        <v>1</v>
      </c>
      <c r="CH100" s="10" t="b">
        <v>0</v>
      </c>
    </row>
    <row r="101" spans="1:86" s="7" customFormat="1" ht="21" customHeight="1">
      <c r="A101" s="10" t="s">
        <v>652</v>
      </c>
      <c r="B101" s="23" t="s">
        <v>515</v>
      </c>
      <c r="C101" s="19" t="s">
        <v>570</v>
      </c>
      <c r="D101" s="11" t="s">
        <v>700</v>
      </c>
      <c r="E101" s="19" t="s">
        <v>133</v>
      </c>
      <c r="F101">
        <v>2</v>
      </c>
      <c r="G101" s="19">
        <v>11109</v>
      </c>
      <c r="H101" s="19" t="s">
        <v>29</v>
      </c>
      <c r="I101" s="19" t="s">
        <v>352</v>
      </c>
      <c r="J101" t="s">
        <v>528</v>
      </c>
      <c r="K101" t="s">
        <v>527</v>
      </c>
      <c r="L101" s="47">
        <v>55.6</v>
      </c>
      <c r="M101" s="37">
        <v>59</v>
      </c>
      <c r="N101" s="37">
        <v>-999</v>
      </c>
      <c r="O101" s="37">
        <v>-999</v>
      </c>
      <c r="P101" s="37">
        <v>-999</v>
      </c>
      <c r="Q101" s="37">
        <v>-999</v>
      </c>
      <c r="R101" s="37">
        <v>-999</v>
      </c>
      <c r="S101" s="111">
        <v>24.3</v>
      </c>
      <c r="T101" s="112" t="s">
        <v>281</v>
      </c>
      <c r="U101" s="113">
        <v>64.2</v>
      </c>
      <c r="V101" s="112" t="s">
        <v>284</v>
      </c>
      <c r="W101" s="113"/>
      <c r="X101" s="112" t="s">
        <v>353</v>
      </c>
      <c r="Y101" s="113">
        <v>47.4</v>
      </c>
      <c r="Z101" s="112" t="s">
        <v>120</v>
      </c>
      <c r="AA101" s="113">
        <v>-999</v>
      </c>
      <c r="AB101" s="112">
        <v>-999</v>
      </c>
      <c r="AC101" s="64">
        <v>24</v>
      </c>
      <c r="AD101" s="131">
        <v>0.8571428571428571</v>
      </c>
      <c r="AE101" s="144">
        <f t="shared" si="69"/>
        <v>0.5</v>
      </c>
      <c r="AF101" s="146">
        <f t="shared" si="70"/>
        <v>0.73571428571428577</v>
      </c>
      <c r="AG101" s="29" t="b">
        <v>0</v>
      </c>
      <c r="AH101" s="29" t="b">
        <v>1</v>
      </c>
      <c r="AI101" s="29" t="b">
        <v>0</v>
      </c>
      <c r="AJ101" s="29" t="b">
        <v>1</v>
      </c>
      <c r="AK101" s="73" t="s">
        <v>192</v>
      </c>
      <c r="AL101" s="48">
        <v>-999</v>
      </c>
      <c r="AM101" s="55">
        <f t="shared" si="71"/>
        <v>-999</v>
      </c>
      <c r="AN101" s="149">
        <f t="shared" si="91"/>
        <v>-999</v>
      </c>
      <c r="AO101" s="48">
        <v>-999</v>
      </c>
      <c r="AP101" s="55">
        <f t="shared" si="72"/>
        <v>-999</v>
      </c>
      <c r="AQ101" s="149">
        <f t="shared" si="73"/>
        <v>-999</v>
      </c>
      <c r="AR101" s="48">
        <v>-999</v>
      </c>
      <c r="AS101" s="55">
        <f t="shared" si="74"/>
        <v>-999</v>
      </c>
      <c r="AT101" s="149">
        <f t="shared" si="75"/>
        <v>-999</v>
      </c>
      <c r="AU101" s="48">
        <v>-999</v>
      </c>
      <c r="AV101" s="55">
        <f t="shared" si="76"/>
        <v>-999</v>
      </c>
      <c r="AW101" s="149">
        <f t="shared" si="77"/>
        <v>-999</v>
      </c>
      <c r="AX101" s="48">
        <v>-999</v>
      </c>
      <c r="AY101" s="55">
        <f t="shared" si="78"/>
        <v>-999</v>
      </c>
      <c r="AZ101" s="149">
        <f t="shared" si="79"/>
        <v>-999</v>
      </c>
      <c r="BA101" s="75">
        <v>9.4</v>
      </c>
      <c r="BB101" s="55">
        <f t="shared" si="80"/>
        <v>0.2768793343886542</v>
      </c>
      <c r="BC101" s="55">
        <f t="shared" si="81"/>
        <v>1044.2460000000001</v>
      </c>
      <c r="BD101" s="136">
        <v>-999</v>
      </c>
      <c r="BE101" s="48">
        <v>-999</v>
      </c>
      <c r="BF101" s="48">
        <v>-999</v>
      </c>
      <c r="BG101" s="48">
        <v>-999</v>
      </c>
      <c r="BH101" s="48">
        <v>-999</v>
      </c>
      <c r="BI101" s="75">
        <v>-999</v>
      </c>
      <c r="BJ101" s="81">
        <f t="shared" si="82"/>
        <v>-999</v>
      </c>
      <c r="BK101" s="55">
        <f t="shared" si="83"/>
        <v>-999</v>
      </c>
      <c r="BL101" s="136">
        <v>-999</v>
      </c>
      <c r="BM101" s="48">
        <v>-999</v>
      </c>
      <c r="BN101" s="48">
        <v>-999</v>
      </c>
      <c r="BO101" s="48">
        <v>-999</v>
      </c>
      <c r="BP101" s="48">
        <v>-999</v>
      </c>
      <c r="BQ101" s="75">
        <v>-999</v>
      </c>
      <c r="BR101" s="81">
        <f t="shared" si="84"/>
        <v>-999</v>
      </c>
      <c r="BS101" s="55">
        <f t="shared" si="85"/>
        <v>-999</v>
      </c>
      <c r="BT101" s="136">
        <v>-999</v>
      </c>
      <c r="BU101" s="48">
        <v>-999</v>
      </c>
      <c r="BV101" s="55">
        <f t="shared" si="86"/>
        <v>-999</v>
      </c>
      <c r="BW101" s="48">
        <v>-999</v>
      </c>
      <c r="BX101" s="55">
        <f t="shared" si="87"/>
        <v>-999</v>
      </c>
      <c r="BY101" s="48">
        <v>-999</v>
      </c>
      <c r="BZ101" s="55">
        <f t="shared" si="88"/>
        <v>-999</v>
      </c>
      <c r="CA101" s="48">
        <v>-999</v>
      </c>
      <c r="CB101" s="55">
        <f t="shared" si="89"/>
        <v>-999</v>
      </c>
      <c r="CC101" s="48">
        <v>-999</v>
      </c>
      <c r="CD101" s="55">
        <f t="shared" si="90"/>
        <v>-999</v>
      </c>
      <c r="CE101" s="48">
        <v>-999</v>
      </c>
      <c r="CF101" s="129" t="s">
        <v>555</v>
      </c>
      <c r="CG101" s="7" t="b">
        <v>1</v>
      </c>
      <c r="CH101" s="10" t="b">
        <v>0</v>
      </c>
    </row>
    <row r="102" spans="1:86" s="13" customFormat="1" ht="21" customHeight="1">
      <c r="A102" s="10" t="s">
        <v>652</v>
      </c>
      <c r="B102" s="23" t="s">
        <v>514</v>
      </c>
      <c r="C102" s="19" t="s">
        <v>569</v>
      </c>
      <c r="D102" s="11" t="s">
        <v>700</v>
      </c>
      <c r="E102" s="19" t="s">
        <v>133</v>
      </c>
      <c r="F102">
        <v>2</v>
      </c>
      <c r="G102" s="19">
        <v>16410</v>
      </c>
      <c r="H102" s="19" t="s">
        <v>29</v>
      </c>
      <c r="I102" s="19" t="s">
        <v>352</v>
      </c>
      <c r="J102" t="s">
        <v>528</v>
      </c>
      <c r="K102" t="s">
        <v>527</v>
      </c>
      <c r="L102" s="47">
        <v>52.3</v>
      </c>
      <c r="M102" s="37">
        <v>61.4</v>
      </c>
      <c r="N102" s="37">
        <v>-999</v>
      </c>
      <c r="O102" s="37">
        <v>-999</v>
      </c>
      <c r="P102" s="37">
        <v>-999</v>
      </c>
      <c r="Q102" s="37">
        <v>-999</v>
      </c>
      <c r="R102" s="37">
        <v>-999</v>
      </c>
      <c r="S102" s="111">
        <v>11.8</v>
      </c>
      <c r="T102" s="112" t="s">
        <v>281</v>
      </c>
      <c r="U102" s="113">
        <v>41.4</v>
      </c>
      <c r="V102" s="112" t="s">
        <v>284</v>
      </c>
      <c r="W102" s="113"/>
      <c r="X102" s="112" t="s">
        <v>353</v>
      </c>
      <c r="Y102" s="113">
        <v>31.2</v>
      </c>
      <c r="Z102" s="112" t="s">
        <v>120</v>
      </c>
      <c r="AA102" s="113">
        <v>-999</v>
      </c>
      <c r="AB102" s="112">
        <v>-999</v>
      </c>
      <c r="AC102" s="64">
        <v>24</v>
      </c>
      <c r="AD102" s="131">
        <v>0.8571428571428571</v>
      </c>
      <c r="AE102" s="144">
        <f t="shared" si="69"/>
        <v>0.5</v>
      </c>
      <c r="AF102" s="146">
        <f t="shared" si="70"/>
        <v>0.73571428571428577</v>
      </c>
      <c r="AG102" s="29" t="b">
        <v>0</v>
      </c>
      <c r="AH102" s="29" t="b">
        <v>1</v>
      </c>
      <c r="AI102" s="29" t="b">
        <v>0</v>
      </c>
      <c r="AJ102" s="29" t="b">
        <v>1</v>
      </c>
      <c r="AK102" s="73" t="s">
        <v>192</v>
      </c>
      <c r="AL102" s="48">
        <v>-999</v>
      </c>
      <c r="AM102" s="55">
        <f t="shared" si="71"/>
        <v>-999</v>
      </c>
      <c r="AN102" s="149">
        <f t="shared" si="91"/>
        <v>-999</v>
      </c>
      <c r="AO102" s="48">
        <v>-999</v>
      </c>
      <c r="AP102" s="55">
        <f t="shared" si="72"/>
        <v>-999</v>
      </c>
      <c r="AQ102" s="149">
        <f t="shared" si="73"/>
        <v>-999</v>
      </c>
      <c r="AR102" s="48">
        <v>-999</v>
      </c>
      <c r="AS102" s="55">
        <f t="shared" si="74"/>
        <v>-999</v>
      </c>
      <c r="AT102" s="149">
        <f t="shared" si="75"/>
        <v>-999</v>
      </c>
      <c r="AU102" s="48">
        <v>-999</v>
      </c>
      <c r="AV102" s="55">
        <f t="shared" si="76"/>
        <v>-999</v>
      </c>
      <c r="AW102" s="149">
        <f t="shared" si="77"/>
        <v>-999</v>
      </c>
      <c r="AX102" s="48">
        <v>-999</v>
      </c>
      <c r="AY102" s="55">
        <f t="shared" si="78"/>
        <v>-999</v>
      </c>
      <c r="AZ102" s="149">
        <f t="shared" si="79"/>
        <v>-999</v>
      </c>
      <c r="BA102" s="75">
        <v>9.1999999999999993</v>
      </c>
      <c r="BB102" s="55">
        <f t="shared" si="80"/>
        <v>0.22562257289364213</v>
      </c>
      <c r="BC102" s="55">
        <f t="shared" si="81"/>
        <v>1509.72</v>
      </c>
      <c r="BD102" s="136">
        <v>-999</v>
      </c>
      <c r="BE102" s="48">
        <v>-999</v>
      </c>
      <c r="BF102" s="48">
        <v>-999</v>
      </c>
      <c r="BG102" s="48">
        <v>-999</v>
      </c>
      <c r="BH102" s="48">
        <v>-999</v>
      </c>
      <c r="BI102" s="75">
        <v>-999</v>
      </c>
      <c r="BJ102" s="81">
        <f t="shared" si="82"/>
        <v>-999</v>
      </c>
      <c r="BK102" s="55">
        <f t="shared" si="83"/>
        <v>-999</v>
      </c>
      <c r="BL102" s="136">
        <v>-999</v>
      </c>
      <c r="BM102" s="48">
        <v>-999</v>
      </c>
      <c r="BN102" s="48">
        <v>-999</v>
      </c>
      <c r="BO102" s="48">
        <v>-999</v>
      </c>
      <c r="BP102" s="48">
        <v>-999</v>
      </c>
      <c r="BQ102" s="75">
        <v>-999</v>
      </c>
      <c r="BR102" s="81">
        <f t="shared" si="84"/>
        <v>-999</v>
      </c>
      <c r="BS102" s="55">
        <f t="shared" si="85"/>
        <v>-999</v>
      </c>
      <c r="BT102" s="136">
        <v>-999</v>
      </c>
      <c r="BU102" s="48">
        <v>-999</v>
      </c>
      <c r="BV102" s="55">
        <f t="shared" si="86"/>
        <v>-999</v>
      </c>
      <c r="BW102" s="48">
        <v>-999</v>
      </c>
      <c r="BX102" s="55">
        <f t="shared" si="87"/>
        <v>-999</v>
      </c>
      <c r="BY102" s="48">
        <v>-999</v>
      </c>
      <c r="BZ102" s="55">
        <f t="shared" si="88"/>
        <v>-999</v>
      </c>
      <c r="CA102" s="48">
        <v>-999</v>
      </c>
      <c r="CB102" s="55">
        <f t="shared" si="89"/>
        <v>-999</v>
      </c>
      <c r="CC102" s="48">
        <v>-999</v>
      </c>
      <c r="CD102" s="55">
        <f t="shared" si="90"/>
        <v>-999</v>
      </c>
      <c r="CE102" s="48">
        <v>-999</v>
      </c>
      <c r="CF102" s="129" t="s">
        <v>555</v>
      </c>
      <c r="CG102" s="7" t="b">
        <v>1</v>
      </c>
      <c r="CH102" s="10" t="b">
        <v>0</v>
      </c>
    </row>
    <row r="103" spans="1:86" s="7" customFormat="1" ht="21" customHeight="1">
      <c r="A103" s="10" t="s">
        <v>653</v>
      </c>
      <c r="B103" s="23" t="s">
        <v>516</v>
      </c>
      <c r="C103" s="19" t="s">
        <v>354</v>
      </c>
      <c r="D103" s="11">
        <v>2010</v>
      </c>
      <c r="E103" s="19" t="s">
        <v>701</v>
      </c>
      <c r="F103">
        <v>4</v>
      </c>
      <c r="G103" s="19">
        <v>1000</v>
      </c>
      <c r="H103" s="19" t="s">
        <v>29</v>
      </c>
      <c r="I103" s="19" t="s">
        <v>355</v>
      </c>
      <c r="J103" t="s">
        <v>522</v>
      </c>
      <c r="K103"/>
      <c r="L103" s="47">
        <v>57</v>
      </c>
      <c r="M103" s="37">
        <v>57</v>
      </c>
      <c r="N103" s="37">
        <v>-999</v>
      </c>
      <c r="O103" s="37">
        <v>27.5</v>
      </c>
      <c r="P103" s="37">
        <v>135</v>
      </c>
      <c r="Q103" s="37">
        <v>81</v>
      </c>
      <c r="R103" s="37">
        <v>77.3</v>
      </c>
      <c r="S103" s="111">
        <v>-999</v>
      </c>
      <c r="T103" s="112">
        <v>-999</v>
      </c>
      <c r="U103" s="113">
        <v>-999</v>
      </c>
      <c r="V103" s="112">
        <v>-999</v>
      </c>
      <c r="W103" s="113">
        <v>17.100000000000001</v>
      </c>
      <c r="X103" s="112">
        <v>-999</v>
      </c>
      <c r="Y103" s="113">
        <v>-999</v>
      </c>
      <c r="Z103" s="112">
        <v>-999</v>
      </c>
      <c r="AA103" s="113">
        <v>17.5</v>
      </c>
      <c r="AB103" s="112">
        <v>-999</v>
      </c>
      <c r="AC103" s="64">
        <v>19</v>
      </c>
      <c r="AD103" s="131">
        <v>0.6785714285714286</v>
      </c>
      <c r="AE103" s="144">
        <f t="shared" si="69"/>
        <v>0.25</v>
      </c>
      <c r="AF103" s="146">
        <f t="shared" si="70"/>
        <v>0.53285714285714292</v>
      </c>
      <c r="AG103" s="29" t="b">
        <v>0</v>
      </c>
      <c r="AH103" s="29" t="b">
        <v>1</v>
      </c>
      <c r="AI103" s="29" t="b">
        <v>0</v>
      </c>
      <c r="AJ103" s="29" t="b">
        <v>0</v>
      </c>
      <c r="AK103" s="73" t="s">
        <v>192</v>
      </c>
      <c r="AL103" s="48">
        <v>6</v>
      </c>
      <c r="AM103" s="55">
        <f t="shared" si="71"/>
        <v>0.7509993342207435</v>
      </c>
      <c r="AN103" s="149">
        <f t="shared" si="91"/>
        <v>60</v>
      </c>
      <c r="AO103" s="48">
        <v>6.6</v>
      </c>
      <c r="AP103" s="55">
        <f t="shared" si="72"/>
        <v>0.78513693073246793</v>
      </c>
      <c r="AQ103" s="149">
        <f t="shared" si="73"/>
        <v>66</v>
      </c>
      <c r="AR103" s="48">
        <v>10.4</v>
      </c>
      <c r="AS103" s="55">
        <f t="shared" si="74"/>
        <v>0.96531860025589478</v>
      </c>
      <c r="AT103" s="149">
        <f t="shared" si="75"/>
        <v>104.00000000000001</v>
      </c>
      <c r="AU103" s="48">
        <v>0</v>
      </c>
      <c r="AV103" s="55">
        <f t="shared" si="76"/>
        <v>0</v>
      </c>
      <c r="AW103" s="149">
        <f t="shared" si="77"/>
        <v>0</v>
      </c>
      <c r="AX103" s="48">
        <v>0</v>
      </c>
      <c r="AY103" s="55">
        <f t="shared" si="78"/>
        <v>0</v>
      </c>
      <c r="AZ103" s="149">
        <f t="shared" si="79"/>
        <v>0</v>
      </c>
      <c r="BA103" s="75">
        <f>AL103+AO103+AR103</f>
        <v>23</v>
      </c>
      <c r="BB103" s="55">
        <f t="shared" si="80"/>
        <v>1.3307892395116516</v>
      </c>
      <c r="BC103" s="55">
        <f t="shared" si="81"/>
        <v>230</v>
      </c>
      <c r="BD103" s="136">
        <v>-999</v>
      </c>
      <c r="BE103" s="48">
        <v>-999</v>
      </c>
      <c r="BF103" s="48">
        <v>-999</v>
      </c>
      <c r="BG103" s="48">
        <v>-999</v>
      </c>
      <c r="BH103" s="48">
        <v>-999</v>
      </c>
      <c r="BI103" s="75">
        <v>-999</v>
      </c>
      <c r="BJ103" s="81">
        <f t="shared" si="82"/>
        <v>-999</v>
      </c>
      <c r="BK103" s="55">
        <f t="shared" si="83"/>
        <v>-999</v>
      </c>
      <c r="BL103" s="136">
        <v>-999</v>
      </c>
      <c r="BM103" s="48">
        <v>-999</v>
      </c>
      <c r="BN103" s="48">
        <v>-999</v>
      </c>
      <c r="BO103" s="48">
        <v>-999</v>
      </c>
      <c r="BP103" s="48">
        <v>-999</v>
      </c>
      <c r="BQ103" s="75">
        <v>-999</v>
      </c>
      <c r="BR103" s="81">
        <f t="shared" si="84"/>
        <v>-999</v>
      </c>
      <c r="BS103" s="55">
        <f t="shared" si="85"/>
        <v>-999</v>
      </c>
      <c r="BT103" s="136">
        <v>-999</v>
      </c>
      <c r="BU103" s="48">
        <v>-999</v>
      </c>
      <c r="BV103" s="55">
        <f t="shared" si="86"/>
        <v>-999</v>
      </c>
      <c r="BW103" s="48">
        <v>-999</v>
      </c>
      <c r="BX103" s="55">
        <f t="shared" si="87"/>
        <v>-999</v>
      </c>
      <c r="BY103" s="48">
        <v>-999</v>
      </c>
      <c r="BZ103" s="55">
        <f t="shared" si="88"/>
        <v>-999</v>
      </c>
      <c r="CA103" s="48">
        <v>-999</v>
      </c>
      <c r="CB103" s="55">
        <f t="shared" si="89"/>
        <v>-999</v>
      </c>
      <c r="CC103" s="48">
        <v>-999</v>
      </c>
      <c r="CD103" s="55">
        <f t="shared" si="90"/>
        <v>-999</v>
      </c>
      <c r="CE103" s="48">
        <v>-999</v>
      </c>
      <c r="CF103" s="129" t="s">
        <v>556</v>
      </c>
      <c r="CG103" s="7" t="b">
        <v>1</v>
      </c>
      <c r="CH103" s="10" t="b">
        <v>0</v>
      </c>
    </row>
    <row r="104" spans="1:86" s="7" customFormat="1" ht="21" customHeight="1">
      <c r="A104" s="10" t="s">
        <v>654</v>
      </c>
      <c r="B104" s="23" t="s">
        <v>517</v>
      </c>
      <c r="C104" s="19" t="s">
        <v>583</v>
      </c>
      <c r="D104" s="11" t="s">
        <v>358</v>
      </c>
      <c r="E104" s="19" t="s">
        <v>356</v>
      </c>
      <c r="F104">
        <v>4</v>
      </c>
      <c r="G104" s="19">
        <v>784563</v>
      </c>
      <c r="H104" s="19" t="s">
        <v>29</v>
      </c>
      <c r="I104" s="19" t="s">
        <v>357</v>
      </c>
      <c r="J104" t="s">
        <v>531</v>
      </c>
      <c r="K104"/>
      <c r="L104" s="47">
        <v>51.9</v>
      </c>
      <c r="M104" s="37">
        <v>45.5</v>
      </c>
      <c r="N104" s="37">
        <v>-999</v>
      </c>
      <c r="O104" s="37">
        <v>-999</v>
      </c>
      <c r="P104" s="37">
        <v>-999</v>
      </c>
      <c r="Q104" s="37">
        <v>-999</v>
      </c>
      <c r="R104" s="37">
        <v>-999</v>
      </c>
      <c r="S104" s="111">
        <v>4.3</v>
      </c>
      <c r="T104" s="112" t="s">
        <v>346</v>
      </c>
      <c r="U104" s="113">
        <v>-999</v>
      </c>
      <c r="V104" s="112">
        <v>-999</v>
      </c>
      <c r="W104" s="113">
        <v>-999</v>
      </c>
      <c r="X104" s="112" t="s">
        <v>359</v>
      </c>
      <c r="Y104" s="113">
        <v>-999</v>
      </c>
      <c r="Z104" s="112">
        <v>-999</v>
      </c>
      <c r="AA104" s="113">
        <v>-999</v>
      </c>
      <c r="AB104" s="112">
        <v>-999</v>
      </c>
      <c r="AC104" s="64">
        <v>16</v>
      </c>
      <c r="AD104" s="131">
        <v>0.5714285714285714</v>
      </c>
      <c r="AE104" s="144">
        <f t="shared" si="69"/>
        <v>0</v>
      </c>
      <c r="AF104" s="146">
        <f t="shared" si="70"/>
        <v>0.37714285714285711</v>
      </c>
      <c r="AG104" s="29" t="b">
        <v>0</v>
      </c>
      <c r="AH104" s="29" t="b">
        <v>0</v>
      </c>
      <c r="AI104" s="29" t="b">
        <v>0</v>
      </c>
      <c r="AJ104" s="29" t="b">
        <v>0</v>
      </c>
      <c r="AK104" s="73" t="s">
        <v>192</v>
      </c>
      <c r="AL104" s="48">
        <v>0.32</v>
      </c>
      <c r="AM104" s="55">
        <f t="shared" si="71"/>
        <v>6.3762464147849507E-3</v>
      </c>
      <c r="AN104" s="149">
        <f t="shared" si="91"/>
        <v>2510.6016</v>
      </c>
      <c r="AO104" s="48">
        <v>0.03</v>
      </c>
      <c r="AP104" s="55">
        <f t="shared" si="72"/>
        <v>1.9551566612970549E-3</v>
      </c>
      <c r="AQ104" s="149">
        <f t="shared" si="73"/>
        <v>235.36889999999997</v>
      </c>
      <c r="AR104" s="48">
        <v>4.17</v>
      </c>
      <c r="AS104" s="55">
        <f t="shared" si="74"/>
        <v>2.2568612513683362E-2</v>
      </c>
      <c r="AT104" s="149">
        <f t="shared" si="75"/>
        <v>32716.277099999999</v>
      </c>
      <c r="AU104" s="48">
        <v>0.38</v>
      </c>
      <c r="AV104" s="55">
        <f t="shared" si="76"/>
        <v>6.9462619276436047E-3</v>
      </c>
      <c r="AW104" s="149">
        <f t="shared" si="77"/>
        <v>2981.3393999999998</v>
      </c>
      <c r="AX104" s="48">
        <v>0.15</v>
      </c>
      <c r="AY104" s="55">
        <f t="shared" si="78"/>
        <v>4.3692385083487347E-3</v>
      </c>
      <c r="AZ104" s="149">
        <f t="shared" si="79"/>
        <v>1176.8444999999999</v>
      </c>
      <c r="BA104" s="75">
        <v>5.0999999999999996</v>
      </c>
      <c r="BB104" s="55">
        <f t="shared" si="80"/>
        <v>2.4837294268068574E-2</v>
      </c>
      <c r="BC104" s="55">
        <f t="shared" si="81"/>
        <v>40012.712999999996</v>
      </c>
      <c r="BD104" s="136">
        <v>-999</v>
      </c>
      <c r="BE104" s="48">
        <v>-999</v>
      </c>
      <c r="BF104" s="48">
        <v>-999</v>
      </c>
      <c r="BG104" s="48">
        <v>-999</v>
      </c>
      <c r="BH104" s="48">
        <v>-999</v>
      </c>
      <c r="BI104" s="75">
        <v>-999</v>
      </c>
      <c r="BJ104" s="81">
        <f t="shared" si="82"/>
        <v>-999</v>
      </c>
      <c r="BK104" s="55">
        <f t="shared" si="83"/>
        <v>-999</v>
      </c>
      <c r="BL104" s="136">
        <v>-999</v>
      </c>
      <c r="BM104" s="48">
        <v>-999</v>
      </c>
      <c r="BN104" s="48">
        <v>-999</v>
      </c>
      <c r="BO104" s="48">
        <v>-999</v>
      </c>
      <c r="BP104" s="48">
        <v>-999</v>
      </c>
      <c r="BQ104" s="75">
        <v>-999</v>
      </c>
      <c r="BR104" s="81">
        <f t="shared" si="84"/>
        <v>-999</v>
      </c>
      <c r="BS104" s="55">
        <f t="shared" si="85"/>
        <v>-999</v>
      </c>
      <c r="BT104" s="136">
        <v>-999</v>
      </c>
      <c r="BU104" s="48">
        <v>-999</v>
      </c>
      <c r="BV104" s="55">
        <f t="shared" si="86"/>
        <v>-999</v>
      </c>
      <c r="BW104" s="48">
        <v>-999</v>
      </c>
      <c r="BX104" s="55">
        <f t="shared" si="87"/>
        <v>-999</v>
      </c>
      <c r="BY104" s="48">
        <v>-999</v>
      </c>
      <c r="BZ104" s="55">
        <f t="shared" si="88"/>
        <v>-999</v>
      </c>
      <c r="CA104" s="48">
        <v>-999</v>
      </c>
      <c r="CB104" s="55">
        <f t="shared" si="89"/>
        <v>-999</v>
      </c>
      <c r="CC104" s="48">
        <v>-999</v>
      </c>
      <c r="CD104" s="55">
        <f t="shared" si="90"/>
        <v>-999</v>
      </c>
      <c r="CE104" s="48">
        <v>-999</v>
      </c>
      <c r="CF104" s="129" t="s">
        <v>556</v>
      </c>
      <c r="CG104" s="7" t="b">
        <v>1</v>
      </c>
      <c r="CH104" s="10" t="b">
        <v>0</v>
      </c>
    </row>
    <row r="105" spans="1:86" s="7" customFormat="1" ht="21" customHeight="1">
      <c r="A105" s="10" t="s">
        <v>655</v>
      </c>
      <c r="B105" s="23" t="s">
        <v>518</v>
      </c>
      <c r="C105" s="19" t="s">
        <v>581</v>
      </c>
      <c r="D105" s="11" t="s">
        <v>362</v>
      </c>
      <c r="E105" s="19" t="s">
        <v>361</v>
      </c>
      <c r="F105">
        <v>4</v>
      </c>
      <c r="G105" s="19">
        <v>34642</v>
      </c>
      <c r="H105" s="19" t="s">
        <v>29</v>
      </c>
      <c r="I105" s="19" t="s">
        <v>360</v>
      </c>
      <c r="J105" t="s">
        <v>527</v>
      </c>
      <c r="K105"/>
      <c r="L105" s="47">
        <v>53.8</v>
      </c>
      <c r="M105" s="37">
        <v>69</v>
      </c>
      <c r="N105" s="37">
        <v>-999</v>
      </c>
      <c r="O105" s="37">
        <v>-999</v>
      </c>
      <c r="P105" s="37">
        <v>-999</v>
      </c>
      <c r="Q105" s="37">
        <v>-999</v>
      </c>
      <c r="R105" s="37">
        <v>-999</v>
      </c>
      <c r="S105" s="111">
        <v>-999</v>
      </c>
      <c r="T105" s="112">
        <v>-999</v>
      </c>
      <c r="U105" s="113">
        <v>-999</v>
      </c>
      <c r="V105" s="112">
        <v>999</v>
      </c>
      <c r="W105" s="113">
        <v>-999</v>
      </c>
      <c r="X105" s="112">
        <v>-999</v>
      </c>
      <c r="Y105" s="113">
        <v>-999</v>
      </c>
      <c r="Z105" s="112">
        <v>-999</v>
      </c>
      <c r="AA105" s="113">
        <v>-999</v>
      </c>
      <c r="AB105" s="112">
        <v>-999</v>
      </c>
      <c r="AC105" s="64">
        <v>15</v>
      </c>
      <c r="AD105" s="131">
        <v>0.5357142857142857</v>
      </c>
      <c r="AE105" s="144">
        <f t="shared" si="69"/>
        <v>0.25</v>
      </c>
      <c r="AF105" s="146">
        <f t="shared" si="70"/>
        <v>0.43857142857142861</v>
      </c>
      <c r="AG105" s="29" t="b">
        <v>1</v>
      </c>
      <c r="AH105" s="29" t="b">
        <v>0</v>
      </c>
      <c r="AI105" s="29" t="b">
        <v>0</v>
      </c>
      <c r="AJ105" s="29" t="b">
        <v>0</v>
      </c>
      <c r="AK105" s="73" t="s">
        <v>190</v>
      </c>
      <c r="AL105" s="48">
        <v>-999</v>
      </c>
      <c r="AM105" s="55">
        <f t="shared" si="71"/>
        <v>-999</v>
      </c>
      <c r="AN105" s="149">
        <f t="shared" si="91"/>
        <v>-999</v>
      </c>
      <c r="AO105" s="48">
        <v>-999</v>
      </c>
      <c r="AP105" s="55">
        <f t="shared" si="72"/>
        <v>-999</v>
      </c>
      <c r="AQ105" s="149">
        <f t="shared" si="73"/>
        <v>-999</v>
      </c>
      <c r="AR105" s="48">
        <v>20.6</v>
      </c>
      <c r="AS105" s="55">
        <f t="shared" si="74"/>
        <v>0.21729132227147074</v>
      </c>
      <c r="AT105" s="149">
        <f t="shared" si="75"/>
        <v>7136.2520000000004</v>
      </c>
      <c r="AU105" s="48">
        <v>2.2999999999999998</v>
      </c>
      <c r="AV105" s="55">
        <f t="shared" si="76"/>
        <v>8.0539646888095257E-2</v>
      </c>
      <c r="AW105" s="149">
        <f t="shared" si="77"/>
        <v>796.76599999999996</v>
      </c>
      <c r="AX105" s="48">
        <v>0</v>
      </c>
      <c r="AY105" s="55">
        <f t="shared" si="78"/>
        <v>0</v>
      </c>
      <c r="AZ105" s="149">
        <f t="shared" si="79"/>
        <v>0</v>
      </c>
      <c r="BA105" s="75">
        <v>23.9</v>
      </c>
      <c r="BB105" s="55">
        <f t="shared" si="80"/>
        <v>0.22913413902986335</v>
      </c>
      <c r="BC105" s="55">
        <f t="shared" si="81"/>
        <v>8279.4380000000001</v>
      </c>
      <c r="BD105" s="136">
        <v>-999</v>
      </c>
      <c r="BE105" s="48">
        <v>-999</v>
      </c>
      <c r="BF105" s="48">
        <v>-999</v>
      </c>
      <c r="BG105" s="48">
        <v>-999</v>
      </c>
      <c r="BH105" s="48">
        <v>-999</v>
      </c>
      <c r="BI105" s="75">
        <v>-999</v>
      </c>
      <c r="BJ105" s="81">
        <f t="shared" si="82"/>
        <v>-999</v>
      </c>
      <c r="BK105" s="55">
        <f t="shared" si="83"/>
        <v>-999</v>
      </c>
      <c r="BL105" s="136">
        <v>-999</v>
      </c>
      <c r="BM105" s="48">
        <v>-999</v>
      </c>
      <c r="BN105" s="48">
        <v>-999</v>
      </c>
      <c r="BO105" s="48">
        <v>-999</v>
      </c>
      <c r="BP105" s="48">
        <v>-999</v>
      </c>
      <c r="BQ105" s="75">
        <v>-999</v>
      </c>
      <c r="BR105" s="81">
        <f t="shared" si="84"/>
        <v>-999</v>
      </c>
      <c r="BS105" s="55">
        <f t="shared" si="85"/>
        <v>-999</v>
      </c>
      <c r="BT105" s="136">
        <v>-999</v>
      </c>
      <c r="BU105" s="48">
        <v>-999</v>
      </c>
      <c r="BV105" s="55">
        <f t="shared" si="86"/>
        <v>-999</v>
      </c>
      <c r="BW105" s="48">
        <v>-999</v>
      </c>
      <c r="BX105" s="55">
        <f t="shared" si="87"/>
        <v>-999</v>
      </c>
      <c r="BY105" s="48">
        <v>-999</v>
      </c>
      <c r="BZ105" s="55">
        <f t="shared" si="88"/>
        <v>-999</v>
      </c>
      <c r="CA105" s="48">
        <v>-999</v>
      </c>
      <c r="CB105" s="55">
        <f t="shared" si="89"/>
        <v>-999</v>
      </c>
      <c r="CC105" s="48">
        <v>-999</v>
      </c>
      <c r="CD105" s="55">
        <f t="shared" si="90"/>
        <v>-999</v>
      </c>
      <c r="CE105" s="48">
        <v>-999</v>
      </c>
      <c r="CF105" s="129" t="s">
        <v>555</v>
      </c>
      <c r="CG105" s="7" t="b">
        <v>0</v>
      </c>
      <c r="CH105" s="23" t="b">
        <v>0</v>
      </c>
    </row>
    <row r="106" spans="1:86" s="7" customFormat="1" ht="21" customHeight="1">
      <c r="A106" s="10" t="s">
        <v>690</v>
      </c>
      <c r="B106" s="23" t="s">
        <v>453</v>
      </c>
      <c r="C106" s="7" t="s">
        <v>96</v>
      </c>
      <c r="D106" s="8" t="s">
        <v>97</v>
      </c>
      <c r="E106" s="7" t="s">
        <v>98</v>
      </c>
      <c r="F106">
        <v>4</v>
      </c>
      <c r="G106" s="7">
        <v>5167</v>
      </c>
      <c r="H106" s="7" t="s">
        <v>29</v>
      </c>
      <c r="I106" s="7" t="s">
        <v>410</v>
      </c>
      <c r="J106" t="s">
        <v>527</v>
      </c>
      <c r="K106"/>
      <c r="L106" s="44">
        <v>59.8</v>
      </c>
      <c r="M106" s="9">
        <v>56.2</v>
      </c>
      <c r="N106" s="9">
        <v>-999</v>
      </c>
      <c r="O106" s="9">
        <v>-999</v>
      </c>
      <c r="P106" s="9">
        <v>-999</v>
      </c>
      <c r="Q106" s="9">
        <v>-999</v>
      </c>
      <c r="R106" s="9">
        <v>-999</v>
      </c>
      <c r="S106" s="100">
        <v>11.700000000000001</v>
      </c>
      <c r="T106" s="101" t="s">
        <v>41</v>
      </c>
      <c r="U106" s="102">
        <v>44.800000000000004</v>
      </c>
      <c r="V106" s="101" t="s">
        <v>36</v>
      </c>
      <c r="W106" s="102">
        <v>-999</v>
      </c>
      <c r="X106" s="101">
        <v>-999</v>
      </c>
      <c r="Y106" s="102">
        <v>33.700000000000003</v>
      </c>
      <c r="Z106" s="101" t="s">
        <v>64</v>
      </c>
      <c r="AA106" s="102">
        <v>-999</v>
      </c>
      <c r="AB106" s="101">
        <v>-999</v>
      </c>
      <c r="AC106" s="64">
        <v>16</v>
      </c>
      <c r="AD106" s="131">
        <f>AC106/28</f>
        <v>0.5714285714285714</v>
      </c>
      <c r="AE106" s="144">
        <f t="shared" si="69"/>
        <v>0.25</v>
      </c>
      <c r="AF106" s="146">
        <f t="shared" si="70"/>
        <v>0.46214285714285713</v>
      </c>
      <c r="AG106" s="9" t="b">
        <v>0</v>
      </c>
      <c r="AH106" s="9" t="b">
        <v>1</v>
      </c>
      <c r="AI106" s="9" t="b">
        <v>0</v>
      </c>
      <c r="AJ106" s="9" t="b">
        <v>0</v>
      </c>
      <c r="AK106" s="71" t="s">
        <v>190</v>
      </c>
      <c r="AL106" s="45">
        <v>-999</v>
      </c>
      <c r="AM106" s="44">
        <f t="shared" si="71"/>
        <v>-999</v>
      </c>
      <c r="AN106" s="149">
        <f t="shared" si="91"/>
        <v>-999</v>
      </c>
      <c r="AO106" s="45">
        <v>-999</v>
      </c>
      <c r="AP106" s="44">
        <f t="shared" si="72"/>
        <v>-999</v>
      </c>
      <c r="AQ106" s="149">
        <f t="shared" si="73"/>
        <v>-999</v>
      </c>
      <c r="AR106" s="45">
        <v>5.6</v>
      </c>
      <c r="AS106" s="44">
        <f t="shared" si="74"/>
        <v>0.31986062379864899</v>
      </c>
      <c r="AT106" s="149">
        <f t="shared" si="75"/>
        <v>289.35199999999998</v>
      </c>
      <c r="AU106" s="45">
        <v>0.3</v>
      </c>
      <c r="AV106" s="44">
        <f t="shared" si="76"/>
        <v>7.6083235973548713E-2</v>
      </c>
      <c r="AW106" s="149">
        <f t="shared" si="77"/>
        <v>15.500999999999999</v>
      </c>
      <c r="AX106" s="45">
        <v>0.18</v>
      </c>
      <c r="AY106" s="44">
        <f t="shared" si="78"/>
        <v>5.8969277197398862E-2</v>
      </c>
      <c r="AZ106" s="149">
        <f t="shared" si="79"/>
        <v>9.3005999999999993</v>
      </c>
      <c r="BA106" s="76">
        <v>6.1</v>
      </c>
      <c r="BB106" s="44">
        <f t="shared" si="80"/>
        <v>0.332949588799897</v>
      </c>
      <c r="BC106" s="55">
        <f t="shared" si="81"/>
        <v>315.18700000000001</v>
      </c>
      <c r="BD106" s="137">
        <v>-999</v>
      </c>
      <c r="BE106" s="45">
        <v>-999</v>
      </c>
      <c r="BF106" s="45">
        <v>-999</v>
      </c>
      <c r="BG106" s="45">
        <v>-999</v>
      </c>
      <c r="BH106" s="45">
        <v>-999</v>
      </c>
      <c r="BI106" s="76">
        <v>3.7000000000000006</v>
      </c>
      <c r="BJ106" s="81">
        <f t="shared" si="82"/>
        <v>191.17900000000003</v>
      </c>
      <c r="BK106" s="44">
        <f t="shared" si="83"/>
        <v>0.26260003208892846</v>
      </c>
      <c r="BL106" s="137">
        <v>-999</v>
      </c>
      <c r="BM106" s="45">
        <v>-999</v>
      </c>
      <c r="BN106" s="45">
        <v>-999</v>
      </c>
      <c r="BO106" s="45">
        <v>-999</v>
      </c>
      <c r="BP106" s="45">
        <v>-999</v>
      </c>
      <c r="BQ106" s="76">
        <v>7.8</v>
      </c>
      <c r="BR106" s="81">
        <f t="shared" si="84"/>
        <v>403.02600000000001</v>
      </c>
      <c r="BS106" s="44">
        <f t="shared" si="85"/>
        <v>0.37307275228587977</v>
      </c>
      <c r="BT106" s="71">
        <v>-999</v>
      </c>
      <c r="BU106" s="48">
        <v>-999</v>
      </c>
      <c r="BV106" s="44">
        <f t="shared" si="86"/>
        <v>-999</v>
      </c>
      <c r="BW106" s="48">
        <v>-999</v>
      </c>
      <c r="BX106" s="44">
        <f t="shared" si="87"/>
        <v>-999</v>
      </c>
      <c r="BY106" s="48">
        <v>-999</v>
      </c>
      <c r="BZ106" s="44">
        <f t="shared" si="88"/>
        <v>-999</v>
      </c>
      <c r="CA106" s="48">
        <v>-999</v>
      </c>
      <c r="CB106" s="44">
        <f t="shared" si="89"/>
        <v>-999</v>
      </c>
      <c r="CC106" s="48">
        <v>-999</v>
      </c>
      <c r="CD106" s="44">
        <f t="shared" si="90"/>
        <v>-999</v>
      </c>
      <c r="CE106" s="55">
        <v>-999</v>
      </c>
      <c r="CF106" s="157" t="s">
        <v>555</v>
      </c>
      <c r="CG106" s="7" t="b">
        <v>0</v>
      </c>
      <c r="CH106" s="7" t="b">
        <v>0</v>
      </c>
    </row>
    <row r="107" spans="1:86" s="7" customFormat="1" ht="21" customHeight="1">
      <c r="A107" s="7" t="s">
        <v>691</v>
      </c>
      <c r="B107" s="23" t="s">
        <v>454</v>
      </c>
      <c r="C107" s="7" t="s">
        <v>117</v>
      </c>
      <c r="D107" s="11" t="s">
        <v>118</v>
      </c>
      <c r="E107" s="10" t="s">
        <v>115</v>
      </c>
      <c r="F107">
        <v>5</v>
      </c>
      <c r="G107" s="10">
        <v>462293</v>
      </c>
      <c r="H107" s="10" t="s">
        <v>29</v>
      </c>
      <c r="I107" s="25" t="s">
        <v>389</v>
      </c>
      <c r="J107" t="s">
        <v>522</v>
      </c>
      <c r="K107"/>
      <c r="L107" s="45">
        <v>50.2</v>
      </c>
      <c r="M107" s="12">
        <v>41.8</v>
      </c>
      <c r="N107" s="12">
        <v>-999</v>
      </c>
      <c r="O107" s="12">
        <v>23.2</v>
      </c>
      <c r="P107" s="12">
        <v>120.9</v>
      </c>
      <c r="Q107" s="12">
        <v>-999</v>
      </c>
      <c r="R107" s="12">
        <v>84.6</v>
      </c>
      <c r="S107" s="100">
        <v>5.4</v>
      </c>
      <c r="T107" s="101" t="s">
        <v>119</v>
      </c>
      <c r="U107" s="102">
        <v>20.7</v>
      </c>
      <c r="V107" s="101" t="s">
        <v>48</v>
      </c>
      <c r="W107" s="102">
        <v>7.9</v>
      </c>
      <c r="X107" s="101" t="s">
        <v>49</v>
      </c>
      <c r="Y107" s="102">
        <v>3.9</v>
      </c>
      <c r="Z107" s="101" t="s">
        <v>120</v>
      </c>
      <c r="AA107" s="102">
        <v>24.2</v>
      </c>
      <c r="AB107" s="101" t="s">
        <v>33</v>
      </c>
      <c r="AC107" s="64">
        <v>26</v>
      </c>
      <c r="AD107" s="131">
        <f>AC107/28</f>
        <v>0.9285714285714286</v>
      </c>
      <c r="AE107" s="144">
        <f t="shared" si="69"/>
        <v>0.25</v>
      </c>
      <c r="AF107" s="146">
        <f t="shared" si="70"/>
        <v>0.69785714285714284</v>
      </c>
      <c r="AG107" s="69" t="b">
        <v>0</v>
      </c>
      <c r="AH107" s="69" t="b">
        <v>1</v>
      </c>
      <c r="AI107" s="69" t="b">
        <v>0</v>
      </c>
      <c r="AJ107" s="69" t="b">
        <v>0</v>
      </c>
      <c r="AK107" s="71" t="s">
        <v>190</v>
      </c>
      <c r="AL107" s="45">
        <v>1.02</v>
      </c>
      <c r="AM107" s="44">
        <f t="shared" si="71"/>
        <v>1.4777982634918044E-2</v>
      </c>
      <c r="AN107" s="149">
        <f t="shared" si="91"/>
        <v>4715.3886000000002</v>
      </c>
      <c r="AO107" s="45">
        <v>3.7900000000000005</v>
      </c>
      <c r="AP107" s="44">
        <f t="shared" si="72"/>
        <v>2.8084781770346238E-2</v>
      </c>
      <c r="AQ107" s="149">
        <f t="shared" si="73"/>
        <v>17520.904700000003</v>
      </c>
      <c r="AR107" s="45">
        <v>6.81</v>
      </c>
      <c r="AS107" s="44">
        <f t="shared" si="74"/>
        <v>3.7050967504103853E-2</v>
      </c>
      <c r="AT107" s="149">
        <f t="shared" si="75"/>
        <v>31482.153299999998</v>
      </c>
      <c r="AU107" s="45">
        <v>0.22</v>
      </c>
      <c r="AV107" s="44">
        <f t="shared" si="76"/>
        <v>6.8908759453325608E-3</v>
      </c>
      <c r="AW107" s="149">
        <f t="shared" si="77"/>
        <v>1017.0446000000001</v>
      </c>
      <c r="AX107" s="45">
        <v>0.1</v>
      </c>
      <c r="AY107" s="44">
        <f t="shared" si="78"/>
        <v>4.6486204177409668E-3</v>
      </c>
      <c r="AZ107" s="149">
        <f t="shared" si="79"/>
        <v>462.29300000000001</v>
      </c>
      <c r="BA107" s="76">
        <v>11.93</v>
      </c>
      <c r="BB107" s="44">
        <f t="shared" si="80"/>
        <v>4.7673337976916356E-2</v>
      </c>
      <c r="BC107" s="55">
        <f t="shared" si="81"/>
        <v>55151.554900000003</v>
      </c>
      <c r="BD107" s="137">
        <v>0.90000000000000013</v>
      </c>
      <c r="BE107" s="45">
        <v>4.5</v>
      </c>
      <c r="BF107" s="45">
        <v>7.3</v>
      </c>
      <c r="BG107" s="45">
        <v>0.2</v>
      </c>
      <c r="BH107" s="45">
        <v>0.1</v>
      </c>
      <c r="BI107" s="76">
        <v>12.9</v>
      </c>
      <c r="BJ107" s="81">
        <f t="shared" si="82"/>
        <v>59635.796999999999</v>
      </c>
      <c r="BK107" s="44">
        <f t="shared" si="83"/>
        <v>4.929981322519076E-2</v>
      </c>
      <c r="BL107" s="137">
        <v>1.1000000000000001</v>
      </c>
      <c r="BM107" s="45">
        <v>3.1</v>
      </c>
      <c r="BN107" s="45">
        <v>6.4</v>
      </c>
      <c r="BO107" s="45">
        <v>0.2</v>
      </c>
      <c r="BP107" s="45">
        <v>0.1</v>
      </c>
      <c r="BQ107" s="76">
        <v>11</v>
      </c>
      <c r="BR107" s="81">
        <f t="shared" si="84"/>
        <v>50852.23</v>
      </c>
      <c r="BS107" s="44">
        <f t="shared" si="85"/>
        <v>4.6018524233629662E-2</v>
      </c>
      <c r="BT107" s="71">
        <v>-999</v>
      </c>
      <c r="BU107" s="48">
        <v>-999</v>
      </c>
      <c r="BV107" s="44">
        <f t="shared" si="86"/>
        <v>-999</v>
      </c>
      <c r="BW107" s="48">
        <v>-999</v>
      </c>
      <c r="BX107" s="44">
        <f t="shared" si="87"/>
        <v>-999</v>
      </c>
      <c r="BY107" s="48">
        <v>-999</v>
      </c>
      <c r="BZ107" s="44">
        <f t="shared" si="88"/>
        <v>-999</v>
      </c>
      <c r="CA107" s="48">
        <v>-999</v>
      </c>
      <c r="CB107" s="44">
        <f t="shared" si="89"/>
        <v>-999</v>
      </c>
      <c r="CC107" s="48">
        <v>-999</v>
      </c>
      <c r="CD107" s="44">
        <f t="shared" si="90"/>
        <v>-999</v>
      </c>
      <c r="CE107" s="55">
        <v>-999</v>
      </c>
      <c r="CF107" s="157" t="s">
        <v>556</v>
      </c>
      <c r="CG107" s="7" t="b">
        <v>1</v>
      </c>
      <c r="CH107" s="10" t="b">
        <v>0</v>
      </c>
    </row>
    <row r="108" spans="1:86" s="10" customFormat="1" ht="21" customHeight="1">
      <c r="A108" s="10" t="s">
        <v>656</v>
      </c>
      <c r="B108" s="23" t="s">
        <v>519</v>
      </c>
      <c r="C108" s="10" t="s">
        <v>363</v>
      </c>
      <c r="D108" s="11" t="s">
        <v>364</v>
      </c>
      <c r="E108" s="19" t="s">
        <v>226</v>
      </c>
      <c r="F108">
        <v>9</v>
      </c>
      <c r="G108" s="19">
        <v>11247</v>
      </c>
      <c r="H108" s="19" t="s">
        <v>29</v>
      </c>
      <c r="I108" s="19" t="s">
        <v>365</v>
      </c>
      <c r="J108" t="s">
        <v>527</v>
      </c>
      <c r="K108"/>
      <c r="L108" s="47">
        <v>54.8</v>
      </c>
      <c r="M108" s="37">
        <v>51.5</v>
      </c>
      <c r="N108" s="37">
        <v>-999</v>
      </c>
      <c r="O108" s="37">
        <v>-999</v>
      </c>
      <c r="P108" s="37">
        <v>129</v>
      </c>
      <c r="Q108" s="37">
        <v>-999</v>
      </c>
      <c r="R108" s="37">
        <v>80</v>
      </c>
      <c r="S108" s="111">
        <v>8.5</v>
      </c>
      <c r="T108" s="112" t="s">
        <v>366</v>
      </c>
      <c r="U108" s="113">
        <v>-999</v>
      </c>
      <c r="V108" s="112">
        <v>-999</v>
      </c>
      <c r="W108" s="113">
        <v>-999</v>
      </c>
      <c r="X108" s="112" t="s">
        <v>359</v>
      </c>
      <c r="Y108" s="113">
        <v>-999</v>
      </c>
      <c r="Z108" s="112">
        <v>-999</v>
      </c>
      <c r="AA108" s="113">
        <v>-999</v>
      </c>
      <c r="AB108" s="112">
        <v>-999</v>
      </c>
      <c r="AC108" s="64">
        <v>23</v>
      </c>
      <c r="AD108" s="131">
        <v>0.8214285714285714</v>
      </c>
      <c r="AE108" s="144">
        <f t="shared" si="69"/>
        <v>0.5</v>
      </c>
      <c r="AF108" s="146">
        <f t="shared" si="70"/>
        <v>0.71214285714285719</v>
      </c>
      <c r="AG108" s="29" t="b">
        <v>0</v>
      </c>
      <c r="AH108" s="29" t="b">
        <v>1</v>
      </c>
      <c r="AI108" s="29" t="b">
        <v>1</v>
      </c>
      <c r="AJ108" s="29" t="b">
        <v>0</v>
      </c>
      <c r="AK108" s="73" t="s">
        <v>190</v>
      </c>
      <c r="AL108" s="48">
        <v>1.4</v>
      </c>
      <c r="AM108" s="55">
        <f t="shared" si="71"/>
        <v>0.11078580754890655</v>
      </c>
      <c r="AN108" s="149">
        <f t="shared" si="91"/>
        <v>157.45799999999997</v>
      </c>
      <c r="AO108" s="48">
        <v>4.3</v>
      </c>
      <c r="AP108" s="55">
        <f t="shared" si="72"/>
        <v>0.19128100684495897</v>
      </c>
      <c r="AQ108" s="149">
        <f t="shared" si="73"/>
        <v>483.62099999999998</v>
      </c>
      <c r="AR108" s="48">
        <v>7.5</v>
      </c>
      <c r="AS108" s="55">
        <f t="shared" si="74"/>
        <v>0.24836085741812455</v>
      </c>
      <c r="AT108" s="149">
        <f t="shared" si="75"/>
        <v>843.52499999999998</v>
      </c>
      <c r="AU108" s="48">
        <v>0.3</v>
      </c>
      <c r="AV108" s="55">
        <f t="shared" si="76"/>
        <v>5.1569136443764645E-2</v>
      </c>
      <c r="AW108" s="149">
        <f t="shared" si="77"/>
        <v>33.741</v>
      </c>
      <c r="AX108" s="48">
        <v>0</v>
      </c>
      <c r="AY108" s="55">
        <f t="shared" si="78"/>
        <v>0</v>
      </c>
      <c r="AZ108" s="149">
        <f t="shared" si="79"/>
        <v>0</v>
      </c>
      <c r="BA108" s="75">
        <v>13.4</v>
      </c>
      <c r="BB108" s="55">
        <f t="shared" si="80"/>
        <v>0.32121291425662141</v>
      </c>
      <c r="BC108" s="55">
        <f t="shared" si="81"/>
        <v>1507.0980000000002</v>
      </c>
      <c r="BD108" s="136">
        <v>-999</v>
      </c>
      <c r="BE108" s="48">
        <v>-999</v>
      </c>
      <c r="BF108" s="48">
        <v>-999</v>
      </c>
      <c r="BG108" s="48">
        <v>-999</v>
      </c>
      <c r="BH108" s="48">
        <v>-999</v>
      </c>
      <c r="BI108" s="75">
        <v>11.8</v>
      </c>
      <c r="BJ108" s="81">
        <f t="shared" si="82"/>
        <v>1327.1460000000002</v>
      </c>
      <c r="BK108" s="55">
        <f t="shared" si="83"/>
        <v>0.30419841624678545</v>
      </c>
      <c r="BL108" s="136">
        <v>-999</v>
      </c>
      <c r="BM108" s="48">
        <v>-999</v>
      </c>
      <c r="BN108" s="48">
        <v>-999</v>
      </c>
      <c r="BO108" s="48">
        <v>-999</v>
      </c>
      <c r="BP108" s="48">
        <v>-999</v>
      </c>
      <c r="BQ108" s="75">
        <v>14.9</v>
      </c>
      <c r="BR108" s="81">
        <f t="shared" si="84"/>
        <v>1675.8029999999999</v>
      </c>
      <c r="BS108" s="55">
        <f t="shared" si="85"/>
        <v>0.33576820322741774</v>
      </c>
      <c r="BT108" s="73" t="s">
        <v>192</v>
      </c>
      <c r="BU108" s="48">
        <v>2.2999999999999998</v>
      </c>
      <c r="BV108" s="55">
        <f t="shared" si="86"/>
        <v>0.14134903643905566</v>
      </c>
      <c r="BW108" s="48">
        <v>3.4</v>
      </c>
      <c r="BX108" s="55">
        <f t="shared" si="87"/>
        <v>0.17088725519397302</v>
      </c>
      <c r="BY108" s="48">
        <v>5.6</v>
      </c>
      <c r="BZ108" s="55">
        <f t="shared" si="88"/>
        <v>0.21680119070375597</v>
      </c>
      <c r="CA108" s="48">
        <v>0.3</v>
      </c>
      <c r="CB108" s="55">
        <f t="shared" si="89"/>
        <v>5.1569136443764645E-2</v>
      </c>
      <c r="CC108" s="48">
        <v>0</v>
      </c>
      <c r="CD108" s="55">
        <f t="shared" si="90"/>
        <v>0</v>
      </c>
      <c r="CE108" s="55">
        <v>11.6</v>
      </c>
      <c r="CF108" s="129" t="s">
        <v>556</v>
      </c>
      <c r="CG108" s="7" t="b">
        <v>1</v>
      </c>
      <c r="CH108" s="10" t="b">
        <v>1</v>
      </c>
    </row>
    <row r="109" spans="1:86" s="23" customFormat="1" ht="21" customHeight="1">
      <c r="A109" s="10" t="s">
        <v>657</v>
      </c>
      <c r="B109" s="23" t="s">
        <v>520</v>
      </c>
      <c r="C109" s="7" t="s">
        <v>367</v>
      </c>
      <c r="D109" s="8" t="s">
        <v>383</v>
      </c>
      <c r="E109" s="86" t="s">
        <v>34</v>
      </c>
      <c r="F109">
        <v>5</v>
      </c>
      <c r="G109" s="86">
        <v>5708</v>
      </c>
      <c r="H109" s="86" t="s">
        <v>23</v>
      </c>
      <c r="I109" s="86" t="s">
        <v>386</v>
      </c>
      <c r="J109" t="s">
        <v>531</v>
      </c>
      <c r="K109" t="s">
        <v>524</v>
      </c>
      <c r="L109" s="87">
        <v>23.5</v>
      </c>
      <c r="M109" s="88">
        <v>46.8</v>
      </c>
      <c r="N109" s="88">
        <v>69.099999999999994</v>
      </c>
      <c r="O109" s="88">
        <v>25</v>
      </c>
      <c r="P109" s="88">
        <v>126</v>
      </c>
      <c r="Q109" s="88">
        <v>81.2</v>
      </c>
      <c r="R109" s="88">
        <v>75</v>
      </c>
      <c r="S109" s="111">
        <v>10.1</v>
      </c>
      <c r="T109" s="120" t="s">
        <v>384</v>
      </c>
      <c r="U109" s="124">
        <v>17.3</v>
      </c>
      <c r="V109" s="120" t="s">
        <v>385</v>
      </c>
      <c r="W109" s="124">
        <v>25</v>
      </c>
      <c r="X109" s="120" t="s">
        <v>590</v>
      </c>
      <c r="Y109" s="124">
        <v>-999</v>
      </c>
      <c r="Z109" s="120">
        <v>-999</v>
      </c>
      <c r="AA109" s="124">
        <v>35.5</v>
      </c>
      <c r="AB109" s="120">
        <v>-999</v>
      </c>
      <c r="AC109" s="64">
        <v>20</v>
      </c>
      <c r="AD109" s="131">
        <v>0.7142857142857143</v>
      </c>
      <c r="AE109" s="144">
        <f t="shared" si="69"/>
        <v>0</v>
      </c>
      <c r="AF109" s="146">
        <f t="shared" si="70"/>
        <v>0.47142857142857147</v>
      </c>
      <c r="AG109" s="29" t="b">
        <v>0</v>
      </c>
      <c r="AH109" s="29" t="b">
        <v>0</v>
      </c>
      <c r="AI109" s="29" t="b">
        <v>0</v>
      </c>
      <c r="AJ109" s="29" t="b">
        <v>0</v>
      </c>
      <c r="AK109" s="73" t="s">
        <v>190</v>
      </c>
      <c r="AL109" s="55">
        <v>-999</v>
      </c>
      <c r="AM109" s="55">
        <f t="shared" si="71"/>
        <v>-999</v>
      </c>
      <c r="AN109" s="149">
        <f t="shared" si="91"/>
        <v>-999</v>
      </c>
      <c r="AO109" s="55">
        <v>-999</v>
      </c>
      <c r="AP109" s="55">
        <f t="shared" si="72"/>
        <v>-999</v>
      </c>
      <c r="AQ109" s="149">
        <f t="shared" si="73"/>
        <v>-999</v>
      </c>
      <c r="AR109" s="55">
        <v>1.1000000000000001</v>
      </c>
      <c r="AS109" s="55">
        <f t="shared" si="74"/>
        <v>0.13805511630015863</v>
      </c>
      <c r="AT109" s="149">
        <f t="shared" si="75"/>
        <v>62.788000000000004</v>
      </c>
      <c r="AU109" s="55">
        <v>0</v>
      </c>
      <c r="AV109" s="55">
        <f t="shared" si="76"/>
        <v>0</v>
      </c>
      <c r="AW109" s="149">
        <f t="shared" si="77"/>
        <v>0</v>
      </c>
      <c r="AX109" s="55">
        <v>0</v>
      </c>
      <c r="AY109" s="55">
        <f t="shared" si="78"/>
        <v>0</v>
      </c>
      <c r="AZ109" s="149">
        <f t="shared" si="79"/>
        <v>0</v>
      </c>
      <c r="BA109" s="75">
        <v>1.1000000000000001</v>
      </c>
      <c r="BB109" s="55">
        <f t="shared" si="80"/>
        <v>0.13805511630015863</v>
      </c>
      <c r="BC109" s="55">
        <f t="shared" si="81"/>
        <v>62.788000000000004</v>
      </c>
      <c r="BD109" s="136">
        <v>-999</v>
      </c>
      <c r="BE109" s="55">
        <v>-999</v>
      </c>
      <c r="BF109" s="55">
        <v>-999</v>
      </c>
      <c r="BG109" s="55">
        <v>-999</v>
      </c>
      <c r="BH109" s="55">
        <v>-999</v>
      </c>
      <c r="BI109" s="75">
        <v>-999</v>
      </c>
      <c r="BJ109" s="81">
        <f t="shared" si="82"/>
        <v>-999</v>
      </c>
      <c r="BK109" s="55">
        <f t="shared" si="83"/>
        <v>-999</v>
      </c>
      <c r="BL109" s="136">
        <v>-999</v>
      </c>
      <c r="BM109" s="55">
        <v>-999</v>
      </c>
      <c r="BN109" s="55">
        <v>-999</v>
      </c>
      <c r="BO109" s="55">
        <v>-999</v>
      </c>
      <c r="BP109" s="55">
        <v>-999</v>
      </c>
      <c r="BQ109" s="75">
        <v>-999</v>
      </c>
      <c r="BR109" s="81">
        <f t="shared" si="84"/>
        <v>-999</v>
      </c>
      <c r="BS109" s="55">
        <f t="shared" si="85"/>
        <v>-999</v>
      </c>
      <c r="BT109" s="73">
        <v>-999</v>
      </c>
      <c r="BU109" s="55">
        <v>-999</v>
      </c>
      <c r="BV109" s="55">
        <f t="shared" si="86"/>
        <v>-999</v>
      </c>
      <c r="BW109" s="55">
        <v>-999</v>
      </c>
      <c r="BX109" s="55">
        <f t="shared" si="87"/>
        <v>-999</v>
      </c>
      <c r="BY109" s="55">
        <v>-999</v>
      </c>
      <c r="BZ109" s="55">
        <f t="shared" si="88"/>
        <v>-999</v>
      </c>
      <c r="CA109" s="55">
        <v>-999</v>
      </c>
      <c r="CB109" s="55">
        <f t="shared" si="89"/>
        <v>-999</v>
      </c>
      <c r="CC109" s="55">
        <v>-999</v>
      </c>
      <c r="CD109" s="55">
        <f t="shared" si="90"/>
        <v>-999</v>
      </c>
      <c r="CE109" s="55">
        <v>-999</v>
      </c>
      <c r="CF109" s="129" t="s">
        <v>556</v>
      </c>
      <c r="CG109" s="7" t="b">
        <v>0</v>
      </c>
      <c r="CH109" s="10" t="b">
        <v>0</v>
      </c>
    </row>
    <row r="110" spans="1:86" s="25" customFormat="1" ht="21" customHeight="1">
      <c r="A110" s="10" t="s">
        <v>658</v>
      </c>
      <c r="B110" s="23" t="s">
        <v>521</v>
      </c>
      <c r="C110" s="19" t="s">
        <v>576</v>
      </c>
      <c r="D110" s="11" t="s">
        <v>699</v>
      </c>
      <c r="E110" s="19" t="s">
        <v>34</v>
      </c>
      <c r="F110">
        <v>5</v>
      </c>
      <c r="G110" s="19">
        <v>2353</v>
      </c>
      <c r="H110" s="19" t="s">
        <v>23</v>
      </c>
      <c r="I110" s="19" t="s">
        <v>368</v>
      </c>
      <c r="J110" t="s">
        <v>524</v>
      </c>
      <c r="K110" t="s">
        <v>527</v>
      </c>
      <c r="L110" s="47">
        <v>50.4</v>
      </c>
      <c r="M110" s="37">
        <v>60.7</v>
      </c>
      <c r="N110" s="37">
        <v>-999</v>
      </c>
      <c r="O110" s="37">
        <v>-999</v>
      </c>
      <c r="P110" s="37">
        <v>-999</v>
      </c>
      <c r="Q110" s="37">
        <v>-999</v>
      </c>
      <c r="R110" s="37">
        <v>-999</v>
      </c>
      <c r="S110" s="111">
        <v>-999</v>
      </c>
      <c r="T110" s="112" t="s">
        <v>366</v>
      </c>
      <c r="U110" s="113">
        <v>-999</v>
      </c>
      <c r="V110" s="112" t="s">
        <v>284</v>
      </c>
      <c r="W110" s="113">
        <v>6.2</v>
      </c>
      <c r="X110" s="112" t="s">
        <v>369</v>
      </c>
      <c r="Y110" s="113">
        <v>-999</v>
      </c>
      <c r="Z110" s="112">
        <v>-999</v>
      </c>
      <c r="AA110" s="113">
        <v>11.9</v>
      </c>
      <c r="AB110" s="112" t="s">
        <v>25</v>
      </c>
      <c r="AC110" s="64">
        <v>21</v>
      </c>
      <c r="AD110" s="131">
        <v>0.75</v>
      </c>
      <c r="AE110" s="144">
        <f t="shared" si="69"/>
        <v>0.25</v>
      </c>
      <c r="AF110" s="146">
        <f t="shared" si="70"/>
        <v>0.57999999999999996</v>
      </c>
      <c r="AG110" s="29" t="b">
        <v>0</v>
      </c>
      <c r="AH110" s="29" t="b">
        <v>1</v>
      </c>
      <c r="AI110" s="29" t="b">
        <v>0</v>
      </c>
      <c r="AJ110" s="29" t="b">
        <v>0</v>
      </c>
      <c r="AK110" s="73" t="s">
        <v>190</v>
      </c>
      <c r="AL110" s="48">
        <v>1.9</v>
      </c>
      <c r="AM110" s="55">
        <f t="shared" si="71"/>
        <v>0.28144940869676488</v>
      </c>
      <c r="AN110" s="149">
        <f t="shared" si="91"/>
        <v>44.707000000000001</v>
      </c>
      <c r="AO110" s="48">
        <v>4.3</v>
      </c>
      <c r="AP110" s="55">
        <f t="shared" si="72"/>
        <v>0.41819538234604481</v>
      </c>
      <c r="AQ110" s="149">
        <f t="shared" si="73"/>
        <v>101.17899999999999</v>
      </c>
      <c r="AR110" s="48">
        <v>5.2</v>
      </c>
      <c r="AS110" s="55">
        <f t="shared" si="74"/>
        <v>0.45771471729772817</v>
      </c>
      <c r="AT110" s="149">
        <f t="shared" si="75"/>
        <v>122.35600000000001</v>
      </c>
      <c r="AU110" s="48">
        <v>0</v>
      </c>
      <c r="AV110" s="55">
        <f t="shared" si="76"/>
        <v>0</v>
      </c>
      <c r="AW110" s="149">
        <f t="shared" si="77"/>
        <v>0</v>
      </c>
      <c r="AX110" s="48">
        <v>0</v>
      </c>
      <c r="AY110" s="55">
        <f t="shared" si="78"/>
        <v>0</v>
      </c>
      <c r="AZ110" s="149">
        <f t="shared" si="79"/>
        <v>0</v>
      </c>
      <c r="BA110" s="75">
        <v>11.3</v>
      </c>
      <c r="BB110" s="55">
        <f t="shared" si="80"/>
        <v>0.65266461580392265</v>
      </c>
      <c r="BC110" s="55">
        <f t="shared" si="81"/>
        <v>265.88900000000001</v>
      </c>
      <c r="BD110" s="136">
        <v>-999</v>
      </c>
      <c r="BE110" s="48">
        <v>-999</v>
      </c>
      <c r="BF110" s="48">
        <v>-999</v>
      </c>
      <c r="BG110" s="48">
        <v>-999</v>
      </c>
      <c r="BH110" s="48">
        <v>-999</v>
      </c>
      <c r="BI110" s="75">
        <v>-999</v>
      </c>
      <c r="BJ110" s="81">
        <f t="shared" si="82"/>
        <v>-999</v>
      </c>
      <c r="BK110" s="55">
        <f t="shared" si="83"/>
        <v>-999</v>
      </c>
      <c r="BL110" s="136">
        <v>-999</v>
      </c>
      <c r="BM110" s="48">
        <v>-999</v>
      </c>
      <c r="BN110" s="48">
        <v>-999</v>
      </c>
      <c r="BO110" s="48">
        <v>-999</v>
      </c>
      <c r="BP110" s="48">
        <v>-999</v>
      </c>
      <c r="BQ110" s="75">
        <v>-999</v>
      </c>
      <c r="BR110" s="81">
        <f t="shared" si="84"/>
        <v>-999</v>
      </c>
      <c r="BS110" s="55">
        <f t="shared" si="85"/>
        <v>-999</v>
      </c>
      <c r="BT110" s="136">
        <v>-999</v>
      </c>
      <c r="BU110" s="48">
        <v>-999</v>
      </c>
      <c r="BV110" s="55">
        <f t="shared" si="86"/>
        <v>-999</v>
      </c>
      <c r="BW110" s="48">
        <v>-999</v>
      </c>
      <c r="BX110" s="55">
        <f t="shared" si="87"/>
        <v>-999</v>
      </c>
      <c r="BY110" s="48">
        <v>-999</v>
      </c>
      <c r="BZ110" s="55">
        <f t="shared" si="88"/>
        <v>-999</v>
      </c>
      <c r="CA110" s="48">
        <v>-999</v>
      </c>
      <c r="CB110" s="55">
        <f t="shared" si="89"/>
        <v>-999</v>
      </c>
      <c r="CC110" s="48">
        <v>-999</v>
      </c>
      <c r="CD110" s="55">
        <f t="shared" si="90"/>
        <v>-999</v>
      </c>
      <c r="CE110" s="48">
        <v>-999</v>
      </c>
      <c r="CF110" s="129" t="s">
        <v>556</v>
      </c>
      <c r="CG110" s="10" t="b">
        <v>0</v>
      </c>
      <c r="CH110" s="10" t="b">
        <v>0</v>
      </c>
    </row>
    <row r="111" spans="1:86" s="23" customFormat="1" ht="21" customHeight="1">
      <c r="A111" s="10" t="s">
        <v>692</v>
      </c>
      <c r="B111" s="23" t="s">
        <v>455</v>
      </c>
      <c r="C111" s="7" t="s">
        <v>577</v>
      </c>
      <c r="D111" s="8" t="s">
        <v>50</v>
      </c>
      <c r="E111" s="10" t="s">
        <v>34</v>
      </c>
      <c r="F111">
        <v>5</v>
      </c>
      <c r="G111" s="7">
        <v>47204</v>
      </c>
      <c r="H111" s="7" t="s">
        <v>51</v>
      </c>
      <c r="I111" s="25" t="s">
        <v>389</v>
      </c>
      <c r="J111" t="s">
        <v>522</v>
      </c>
      <c r="K111"/>
      <c r="L111" s="44">
        <v>57.3</v>
      </c>
      <c r="M111" s="9">
        <v>49.6</v>
      </c>
      <c r="N111" s="9">
        <v>-999</v>
      </c>
      <c r="O111" s="9">
        <v>23.9</v>
      </c>
      <c r="P111" s="9">
        <v>-999</v>
      </c>
      <c r="Q111" s="9">
        <v>-999</v>
      </c>
      <c r="R111" s="9">
        <v>74.8</v>
      </c>
      <c r="S111" s="100">
        <v>7.3999999999999995</v>
      </c>
      <c r="T111" s="101" t="s">
        <v>52</v>
      </c>
      <c r="U111" s="102">
        <v>35.4</v>
      </c>
      <c r="V111" s="101" t="s">
        <v>53</v>
      </c>
      <c r="W111" s="102">
        <v>6.6000000000000005</v>
      </c>
      <c r="X111" s="101" t="s">
        <v>39</v>
      </c>
      <c r="Y111" s="102">
        <v>-999</v>
      </c>
      <c r="Z111" s="101">
        <v>-999</v>
      </c>
      <c r="AA111" s="102">
        <v>23.5</v>
      </c>
      <c r="AB111" s="101">
        <v>-999</v>
      </c>
      <c r="AC111" s="64">
        <v>23</v>
      </c>
      <c r="AD111" s="131">
        <f>AC111/28</f>
        <v>0.8214285714285714</v>
      </c>
      <c r="AE111" s="144">
        <f t="shared" si="69"/>
        <v>0.5</v>
      </c>
      <c r="AF111" s="146">
        <f t="shared" si="70"/>
        <v>0.71214285714285719</v>
      </c>
      <c r="AG111" s="9" t="b">
        <v>0</v>
      </c>
      <c r="AH111" s="9" t="b">
        <v>1</v>
      </c>
      <c r="AI111" s="9" t="b">
        <v>1</v>
      </c>
      <c r="AJ111" s="9" t="b">
        <v>0</v>
      </c>
      <c r="AK111" s="71" t="s">
        <v>190</v>
      </c>
      <c r="AL111" s="45">
        <v>5.7</v>
      </c>
      <c r="AM111" s="44">
        <f t="shared" si="71"/>
        <v>0.10670969371294635</v>
      </c>
      <c r="AN111" s="149">
        <f t="shared" si="91"/>
        <v>2690.6280000000002</v>
      </c>
      <c r="AO111" s="45">
        <v>3.4000000000000004</v>
      </c>
      <c r="AP111" s="44">
        <f t="shared" si="72"/>
        <v>8.3413937234771238E-2</v>
      </c>
      <c r="AQ111" s="149">
        <f t="shared" si="73"/>
        <v>1604.9360000000001</v>
      </c>
      <c r="AR111" s="45">
        <v>1.6</v>
      </c>
      <c r="AS111" s="44">
        <f t="shared" si="74"/>
        <v>5.7752147725440572E-2</v>
      </c>
      <c r="AT111" s="149">
        <f t="shared" si="75"/>
        <v>755.26400000000001</v>
      </c>
      <c r="AU111" s="45">
        <v>0.1</v>
      </c>
      <c r="AV111" s="44">
        <f t="shared" si="76"/>
        <v>1.4547666728265221E-2</v>
      </c>
      <c r="AW111" s="149">
        <f t="shared" si="77"/>
        <v>47.204000000000001</v>
      </c>
      <c r="AX111" s="45">
        <v>0.03</v>
      </c>
      <c r="AY111" s="44">
        <f t="shared" si="78"/>
        <v>7.9708763587373142E-3</v>
      </c>
      <c r="AZ111" s="149">
        <f t="shared" si="79"/>
        <v>14.161199999999999</v>
      </c>
      <c r="BA111" s="76">
        <v>10.8</v>
      </c>
      <c r="BB111" s="44">
        <f t="shared" si="80"/>
        <v>0.14285811129479148</v>
      </c>
      <c r="BC111" s="55">
        <f t="shared" si="81"/>
        <v>5098.0320000000002</v>
      </c>
      <c r="BD111" s="137">
        <v>-999</v>
      </c>
      <c r="BE111" s="45">
        <v>-999</v>
      </c>
      <c r="BF111" s="45">
        <v>-999</v>
      </c>
      <c r="BG111" s="45">
        <v>-999</v>
      </c>
      <c r="BH111" s="45">
        <v>-999</v>
      </c>
      <c r="BI111" s="76">
        <v>-999</v>
      </c>
      <c r="BJ111" s="81">
        <f t="shared" si="82"/>
        <v>-999</v>
      </c>
      <c r="BK111" s="44">
        <f t="shared" si="83"/>
        <v>-999</v>
      </c>
      <c r="BL111" s="137">
        <v>-999</v>
      </c>
      <c r="BM111" s="45">
        <v>-999</v>
      </c>
      <c r="BN111" s="45">
        <v>-999</v>
      </c>
      <c r="BO111" s="45">
        <v>-999</v>
      </c>
      <c r="BP111" s="45">
        <v>-999</v>
      </c>
      <c r="BQ111" s="76">
        <v>-999</v>
      </c>
      <c r="BR111" s="81">
        <f t="shared" si="84"/>
        <v>-999</v>
      </c>
      <c r="BS111" s="44">
        <f t="shared" si="85"/>
        <v>-999</v>
      </c>
      <c r="BT111" s="71">
        <v>-999</v>
      </c>
      <c r="BU111" s="48">
        <v>-999</v>
      </c>
      <c r="BV111" s="44">
        <f t="shared" si="86"/>
        <v>-999</v>
      </c>
      <c r="BW111" s="48">
        <v>-999</v>
      </c>
      <c r="BX111" s="44">
        <f t="shared" si="87"/>
        <v>-999</v>
      </c>
      <c r="BY111" s="48">
        <v>-999</v>
      </c>
      <c r="BZ111" s="44">
        <f t="shared" si="88"/>
        <v>-999</v>
      </c>
      <c r="CA111" s="48">
        <v>-999</v>
      </c>
      <c r="CB111" s="44">
        <f t="shared" si="89"/>
        <v>-999</v>
      </c>
      <c r="CC111" s="48">
        <v>-999</v>
      </c>
      <c r="CD111" s="44">
        <f t="shared" si="90"/>
        <v>-999</v>
      </c>
      <c r="CE111" s="55">
        <v>-999</v>
      </c>
      <c r="CF111" s="157" t="s">
        <v>556</v>
      </c>
      <c r="CG111" s="7" t="b">
        <v>1</v>
      </c>
      <c r="CH111" s="7" t="b">
        <v>0</v>
      </c>
    </row>
    <row r="112" spans="1:86" s="23" customFormat="1" ht="21" customHeight="1">
      <c r="A112" s="10" t="s">
        <v>693</v>
      </c>
      <c r="B112" s="25" t="s">
        <v>456</v>
      </c>
      <c r="C112" s="7" t="s">
        <v>578</v>
      </c>
      <c r="D112" s="8">
        <v>2006</v>
      </c>
      <c r="E112" s="7" t="s">
        <v>34</v>
      </c>
      <c r="F112">
        <v>5</v>
      </c>
      <c r="G112" s="7">
        <v>13925</v>
      </c>
      <c r="H112" s="7" t="s">
        <v>29</v>
      </c>
      <c r="I112" s="7" t="s">
        <v>411</v>
      </c>
      <c r="J112" s="128" t="s">
        <v>522</v>
      </c>
      <c r="K112" s="128"/>
      <c r="L112" s="44">
        <v>43.856373429084385</v>
      </c>
      <c r="M112" s="9">
        <v>40</v>
      </c>
      <c r="N112" s="9">
        <v>-999</v>
      </c>
      <c r="O112" s="9">
        <v>-999</v>
      </c>
      <c r="P112" s="9">
        <v>-999</v>
      </c>
      <c r="Q112" s="9">
        <v>-999</v>
      </c>
      <c r="R112" s="9">
        <v>75.099999999999994</v>
      </c>
      <c r="S112" s="100">
        <v>6.3</v>
      </c>
      <c r="T112" s="110" t="s">
        <v>38</v>
      </c>
      <c r="U112" s="121">
        <v>30.2</v>
      </c>
      <c r="V112" s="110" t="s">
        <v>219</v>
      </c>
      <c r="W112" s="121">
        <v>9.1999999999999993</v>
      </c>
      <c r="X112" s="110" t="s">
        <v>54</v>
      </c>
      <c r="Y112" s="121">
        <v>38.5</v>
      </c>
      <c r="Z112" s="110" t="s">
        <v>55</v>
      </c>
      <c r="AA112" s="121">
        <v>32.9</v>
      </c>
      <c r="AB112" s="110" t="s">
        <v>25</v>
      </c>
      <c r="AC112" s="64">
        <v>23</v>
      </c>
      <c r="AD112" s="131">
        <f>AC112/28</f>
        <v>0.8214285714285714</v>
      </c>
      <c r="AE112" s="144">
        <f t="shared" si="69"/>
        <v>0.25</v>
      </c>
      <c r="AF112" s="146">
        <f t="shared" si="70"/>
        <v>0.62714285714285711</v>
      </c>
      <c r="AG112" s="9" t="b">
        <v>0</v>
      </c>
      <c r="AH112" s="9" t="b">
        <v>0</v>
      </c>
      <c r="AI112" s="9" t="b">
        <v>1</v>
      </c>
      <c r="AJ112" s="9" t="b">
        <v>0</v>
      </c>
      <c r="AK112" s="71" t="s">
        <v>190</v>
      </c>
      <c r="AL112" s="44">
        <v>7.4000000000000012</v>
      </c>
      <c r="AM112" s="44">
        <f t="shared" si="71"/>
        <v>0.22183177348411909</v>
      </c>
      <c r="AN112" s="149">
        <f t="shared" si="91"/>
        <v>1030.45</v>
      </c>
      <c r="AO112" s="44">
        <v>4.7</v>
      </c>
      <c r="AP112" s="44">
        <f t="shared" si="72"/>
        <v>0.17934851181263686</v>
      </c>
      <c r="AQ112" s="149">
        <f t="shared" si="73"/>
        <v>654.47500000000002</v>
      </c>
      <c r="AR112" s="44">
        <v>1.8000000000000003</v>
      </c>
      <c r="AS112" s="44">
        <f t="shared" si="74"/>
        <v>0.1126663940024817</v>
      </c>
      <c r="AT112" s="149">
        <f t="shared" si="75"/>
        <v>250.65000000000003</v>
      </c>
      <c r="AU112" s="44">
        <v>0</v>
      </c>
      <c r="AV112" s="44">
        <f t="shared" si="76"/>
        <v>0</v>
      </c>
      <c r="AW112" s="149">
        <f t="shared" si="77"/>
        <v>0</v>
      </c>
      <c r="AX112" s="44">
        <v>0</v>
      </c>
      <c r="AY112" s="44">
        <f t="shared" si="78"/>
        <v>0</v>
      </c>
      <c r="AZ112" s="149">
        <f t="shared" si="79"/>
        <v>0</v>
      </c>
      <c r="BA112" s="76">
        <v>14</v>
      </c>
      <c r="BB112" s="44">
        <f t="shared" si="80"/>
        <v>0.29404624753804098</v>
      </c>
      <c r="BC112" s="55">
        <f t="shared" si="81"/>
        <v>1949.5000000000002</v>
      </c>
      <c r="BD112" s="137">
        <v>-999</v>
      </c>
      <c r="BE112" s="44">
        <v>-999</v>
      </c>
      <c r="BF112" s="44">
        <v>-999</v>
      </c>
      <c r="BG112" s="44">
        <v>-999</v>
      </c>
      <c r="BH112" s="44">
        <v>-999</v>
      </c>
      <c r="BI112" s="76">
        <v>-999</v>
      </c>
      <c r="BJ112" s="81">
        <f t="shared" si="82"/>
        <v>-999</v>
      </c>
      <c r="BK112" s="44">
        <f t="shared" si="83"/>
        <v>-999</v>
      </c>
      <c r="BL112" s="137">
        <v>-999</v>
      </c>
      <c r="BM112" s="44">
        <v>-999</v>
      </c>
      <c r="BN112" s="44">
        <v>-999</v>
      </c>
      <c r="BO112" s="44">
        <v>-999</v>
      </c>
      <c r="BP112" s="44">
        <v>-999</v>
      </c>
      <c r="BQ112" s="76">
        <v>-999</v>
      </c>
      <c r="BR112" s="81">
        <f t="shared" si="84"/>
        <v>-999</v>
      </c>
      <c r="BS112" s="44">
        <f t="shared" si="85"/>
        <v>-999</v>
      </c>
      <c r="BT112" s="71">
        <v>-999</v>
      </c>
      <c r="BU112" s="44">
        <v>-999</v>
      </c>
      <c r="BV112" s="44">
        <f t="shared" si="86"/>
        <v>-999</v>
      </c>
      <c r="BW112" s="44">
        <v>-999</v>
      </c>
      <c r="BX112" s="44">
        <f t="shared" si="87"/>
        <v>-999</v>
      </c>
      <c r="BY112" s="44">
        <v>-999</v>
      </c>
      <c r="BZ112" s="44">
        <f t="shared" si="88"/>
        <v>-999</v>
      </c>
      <c r="CA112" s="44">
        <v>-999</v>
      </c>
      <c r="CB112" s="44">
        <f t="shared" si="89"/>
        <v>-999</v>
      </c>
      <c r="CC112" s="44">
        <v>-999</v>
      </c>
      <c r="CD112" s="44">
        <f t="shared" si="90"/>
        <v>-999</v>
      </c>
      <c r="CE112" s="44">
        <v>-999</v>
      </c>
      <c r="CF112" s="157" t="s">
        <v>556</v>
      </c>
      <c r="CG112" s="7" t="b">
        <v>0</v>
      </c>
      <c r="CH112" s="10" t="b">
        <v>0</v>
      </c>
    </row>
    <row r="113" spans="1:86" s="23" customFormat="1" ht="21" customHeight="1">
      <c r="A113" s="10" t="s">
        <v>659</v>
      </c>
      <c r="B113" s="19" t="s">
        <v>537</v>
      </c>
      <c r="C113" s="19" t="s">
        <v>541</v>
      </c>
      <c r="D113" s="11" t="s">
        <v>702</v>
      </c>
      <c r="E113" s="19" t="s">
        <v>703</v>
      </c>
      <c r="F113">
        <v>4</v>
      </c>
      <c r="G113" s="19">
        <v>9806</v>
      </c>
      <c r="H113" s="19" t="s">
        <v>29</v>
      </c>
      <c r="I113" s="19" t="s">
        <v>542</v>
      </c>
      <c r="J113" t="s">
        <v>527</v>
      </c>
      <c r="K113"/>
      <c r="L113" s="47">
        <v>55</v>
      </c>
      <c r="M113" s="37">
        <v>62.1</v>
      </c>
      <c r="N113" s="37">
        <v>-999</v>
      </c>
      <c r="O113" s="37">
        <v>-999</v>
      </c>
      <c r="P113" s="37">
        <v>999</v>
      </c>
      <c r="Q113" s="37">
        <v>999</v>
      </c>
      <c r="R113" s="37">
        <v>999</v>
      </c>
      <c r="S113" s="111">
        <v>11.6</v>
      </c>
      <c r="T113" s="112" t="s">
        <v>543</v>
      </c>
      <c r="U113" s="113">
        <v>44.2</v>
      </c>
      <c r="V113" s="112" t="s">
        <v>543</v>
      </c>
      <c r="W113" s="113">
        <v>-999</v>
      </c>
      <c r="X113" s="112">
        <v>-999</v>
      </c>
      <c r="Y113" s="113">
        <v>26.9</v>
      </c>
      <c r="Z113" s="112" t="s">
        <v>136</v>
      </c>
      <c r="AA113" s="113">
        <v>16.899999999999999</v>
      </c>
      <c r="AB113" s="112" t="s">
        <v>25</v>
      </c>
      <c r="AC113" s="64">
        <v>23</v>
      </c>
      <c r="AD113" s="131">
        <v>0.8214285714285714</v>
      </c>
      <c r="AE113" s="144">
        <f t="shared" si="69"/>
        <v>0.25</v>
      </c>
      <c r="AF113" s="146">
        <f t="shared" si="70"/>
        <v>0.62714285714285711</v>
      </c>
      <c r="AG113" s="29" t="b">
        <v>0</v>
      </c>
      <c r="AH113" s="29" t="b">
        <v>1</v>
      </c>
      <c r="AI113" s="29" t="b">
        <v>0</v>
      </c>
      <c r="AJ113" s="29" t="b">
        <v>0</v>
      </c>
      <c r="AK113" s="73" t="s">
        <v>190</v>
      </c>
      <c r="AL113" s="48">
        <v>4.5999999999999996</v>
      </c>
      <c r="AM113" s="55">
        <f t="shared" si="71"/>
        <v>0.2115471402198161</v>
      </c>
      <c r="AN113" s="149">
        <f t="shared" si="91"/>
        <v>451.07599999999996</v>
      </c>
      <c r="AO113" s="48">
        <v>4.7</v>
      </c>
      <c r="AP113" s="55">
        <f t="shared" si="72"/>
        <v>0.21372210097945701</v>
      </c>
      <c r="AQ113" s="149">
        <f t="shared" si="73"/>
        <v>460.88200000000001</v>
      </c>
      <c r="AR113" s="48">
        <v>17</v>
      </c>
      <c r="AS113" s="55">
        <f t="shared" si="74"/>
        <v>0.37933032439163011</v>
      </c>
      <c r="AT113" s="149">
        <f t="shared" si="75"/>
        <v>1667.0200000000002</v>
      </c>
      <c r="AU113" s="48">
        <v>0.4</v>
      </c>
      <c r="AV113" s="55">
        <f t="shared" si="76"/>
        <v>6.3740243821618095E-2</v>
      </c>
      <c r="AW113" s="149">
        <f t="shared" si="77"/>
        <v>39.224000000000004</v>
      </c>
      <c r="AX113" s="48">
        <v>0</v>
      </c>
      <c r="AY113" s="55">
        <f t="shared" si="78"/>
        <v>0</v>
      </c>
      <c r="AZ113" s="149">
        <f t="shared" si="79"/>
        <v>0</v>
      </c>
      <c r="BA113" s="57">
        <f>AL113+AO113+AR113+AU113+AX113</f>
        <v>26.7</v>
      </c>
      <c r="BB113" s="55">
        <f t="shared" si="80"/>
        <v>0.44674702956305623</v>
      </c>
      <c r="BC113" s="55">
        <f t="shared" si="81"/>
        <v>2618.2020000000002</v>
      </c>
      <c r="BD113" s="136">
        <v>-999</v>
      </c>
      <c r="BE113" s="48">
        <v>-999</v>
      </c>
      <c r="BF113" s="48">
        <v>-999</v>
      </c>
      <c r="BG113" s="48">
        <v>-999</v>
      </c>
      <c r="BH113" s="48">
        <v>-999</v>
      </c>
      <c r="BI113" s="75">
        <v>-999</v>
      </c>
      <c r="BJ113" s="81">
        <f t="shared" si="82"/>
        <v>-999</v>
      </c>
      <c r="BK113" s="55">
        <f t="shared" si="83"/>
        <v>-999</v>
      </c>
      <c r="BL113" s="136">
        <v>-999</v>
      </c>
      <c r="BM113" s="48">
        <v>-999</v>
      </c>
      <c r="BN113" s="48">
        <v>-999</v>
      </c>
      <c r="BO113" s="48">
        <v>-999</v>
      </c>
      <c r="BP113" s="48">
        <v>-999</v>
      </c>
      <c r="BQ113" s="75">
        <v>-999</v>
      </c>
      <c r="BR113" s="81">
        <f t="shared" si="84"/>
        <v>-999</v>
      </c>
      <c r="BS113" s="55">
        <f t="shared" si="85"/>
        <v>-999</v>
      </c>
      <c r="BT113" s="136">
        <v>-999</v>
      </c>
      <c r="BU113" s="48">
        <v>-999</v>
      </c>
      <c r="BV113" s="55">
        <f t="shared" si="86"/>
        <v>-999</v>
      </c>
      <c r="BW113" s="48">
        <v>-999</v>
      </c>
      <c r="BX113" s="55">
        <f t="shared" si="87"/>
        <v>-999</v>
      </c>
      <c r="BY113" s="48">
        <v>-999</v>
      </c>
      <c r="BZ113" s="55">
        <f t="shared" si="88"/>
        <v>-999</v>
      </c>
      <c r="CA113" s="48">
        <v>-999</v>
      </c>
      <c r="CB113" s="55">
        <f t="shared" si="89"/>
        <v>-999</v>
      </c>
      <c r="CC113" s="48">
        <v>-999</v>
      </c>
      <c r="CD113" s="55">
        <f t="shared" si="90"/>
        <v>-999</v>
      </c>
      <c r="CE113" s="48">
        <v>-999</v>
      </c>
      <c r="CF113" s="129" t="s">
        <v>556</v>
      </c>
      <c r="CG113" s="7" t="b">
        <v>1</v>
      </c>
      <c r="CH113" s="10" t="b">
        <v>0</v>
      </c>
    </row>
  </sheetData>
  <sortState ref="A2:CI113">
    <sortCondition ref="C2:C113"/>
  </sortState>
  <pageMargins left="0.75" right="0.75" top="1" bottom="1" header="0.5" footer="0.5"/>
  <pageSetup paperSize="9" scale="33" fitToWidth="3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STATA FORMAT</vt:lpstr>
    </vt:vector>
  </TitlesOfParts>
  <Company>University of Oxford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Hill</dc:creator>
  <cp:lastModifiedBy>Nathan Hill</cp:lastModifiedBy>
  <cp:lastPrinted>2015-04-23T09:37:48Z</cp:lastPrinted>
  <dcterms:created xsi:type="dcterms:W3CDTF">2014-06-17T10:03:08Z</dcterms:created>
  <dcterms:modified xsi:type="dcterms:W3CDTF">2016-02-10T14:52:48Z</dcterms:modified>
</cp:coreProperties>
</file>